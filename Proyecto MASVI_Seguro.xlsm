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tima\Documents\MASVI\"/>
    </mc:Choice>
  </mc:AlternateContent>
  <xr:revisionPtr revIDLastSave="0" documentId="13_ncr:1_{845190ED-4B67-499F-8CEF-FE9B4EA2DE89}" xr6:coauthVersionLast="46" xr6:coauthVersionMax="46" xr10:uidLastSave="{00000000-0000-0000-0000-000000000000}"/>
  <bookViews>
    <workbookView xWindow="-120" yWindow="-120" windowWidth="20730" windowHeight="11160" activeTab="2" xr2:uid="{0FBC5157-E4BD-475B-A8BC-897DF6B58965}"/>
  </bookViews>
  <sheets>
    <sheet name="Hombres" sheetId="2" r:id="rId1"/>
    <sheet name="Mujeres" sheetId="3" r:id="rId2"/>
    <sheet name="Hoja1" sheetId="1" r:id="rId3"/>
  </sheets>
  <externalReferences>
    <externalReference r:id="rId4"/>
  </externalReferences>
  <definedNames>
    <definedName name="Edad">[1]Hoja1!$F$3:$F$87</definedName>
    <definedName name="Edades">[1]Hoja1!$F$3:$F$87</definedName>
    <definedName name="Poliza">[1]Hoja1!$B$3:$B$4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3" l="1"/>
  <c r="E2" i="3" l="1"/>
  <c r="B2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R5" i="2"/>
  <c r="E4" i="2"/>
  <c r="E3" i="2"/>
  <c r="E2" i="2"/>
  <c r="B2" i="2"/>
  <c r="B3" i="2" s="1"/>
  <c r="J2" i="2" l="1"/>
  <c r="B3" i="3"/>
  <c r="C2" i="3" s="1"/>
  <c r="J3" i="3"/>
  <c r="J2" i="3"/>
  <c r="B4" i="2"/>
  <c r="J3" i="2"/>
  <c r="F3" i="2"/>
  <c r="C3" i="2"/>
  <c r="F2" i="2"/>
  <c r="C2" i="2"/>
  <c r="B4" i="3" l="1"/>
  <c r="C3" i="3" s="1"/>
  <c r="F2" i="3"/>
  <c r="M3" i="3"/>
  <c r="H2" i="3"/>
  <c r="M2" i="3"/>
  <c r="M2" i="2"/>
  <c r="H2" i="2"/>
  <c r="H3" i="2"/>
  <c r="M3" i="2"/>
  <c r="B5" i="2"/>
  <c r="C4" i="2" s="1"/>
  <c r="J4" i="2"/>
  <c r="F4" i="2"/>
  <c r="J4" i="3" l="1"/>
  <c r="B5" i="3"/>
  <c r="F3" i="3"/>
  <c r="H3" i="3" s="1"/>
  <c r="B6" i="3"/>
  <c r="F4" i="3"/>
  <c r="B6" i="2"/>
  <c r="F5" i="2" s="1"/>
  <c r="C5" i="2"/>
  <c r="J5" i="2"/>
  <c r="H4" i="2"/>
  <c r="M4" i="2"/>
  <c r="F5" i="3" l="1"/>
  <c r="C5" i="3"/>
  <c r="M5" i="3" s="1"/>
  <c r="C4" i="3"/>
  <c r="M4" i="3" s="1"/>
  <c r="J5" i="3"/>
  <c r="H4" i="3"/>
  <c r="H5" i="3"/>
  <c r="B7" i="3"/>
  <c r="C6" i="3" s="1"/>
  <c r="J6" i="3"/>
  <c r="F6" i="3"/>
  <c r="H5" i="2"/>
  <c r="M5" i="2"/>
  <c r="B7" i="2"/>
  <c r="C6" i="2"/>
  <c r="J6" i="2"/>
  <c r="H6" i="3" l="1"/>
  <c r="M6" i="3"/>
  <c r="B8" i="3"/>
  <c r="F7" i="3" s="1"/>
  <c r="J7" i="3"/>
  <c r="M6" i="2"/>
  <c r="B8" i="2"/>
  <c r="F7" i="2" s="1"/>
  <c r="C7" i="2"/>
  <c r="J7" i="2"/>
  <c r="F6" i="2"/>
  <c r="C7" i="3" l="1"/>
  <c r="H7" i="3" s="1"/>
  <c r="M7" i="3"/>
  <c r="B9" i="3"/>
  <c r="C8" i="3" s="1"/>
  <c r="J8" i="3"/>
  <c r="F8" i="3"/>
  <c r="H7" i="2"/>
  <c r="M7" i="2"/>
  <c r="B9" i="2"/>
  <c r="F8" i="2"/>
  <c r="C8" i="2"/>
  <c r="J8" i="2"/>
  <c r="H6" i="2"/>
  <c r="H8" i="3" l="1"/>
  <c r="M8" i="3"/>
  <c r="B10" i="3"/>
  <c r="C9" i="3" s="1"/>
  <c r="J9" i="3"/>
  <c r="H8" i="2"/>
  <c r="M8" i="2"/>
  <c r="B10" i="2"/>
  <c r="F9" i="2"/>
  <c r="C9" i="2"/>
  <c r="J9" i="2"/>
  <c r="M9" i="3" l="1"/>
  <c r="B11" i="3"/>
  <c r="C10" i="3" s="1"/>
  <c r="J10" i="3"/>
  <c r="F10" i="3"/>
  <c r="F9" i="3"/>
  <c r="H9" i="2"/>
  <c r="M9" i="2"/>
  <c r="B11" i="2"/>
  <c r="F10" i="2" s="1"/>
  <c r="C10" i="2"/>
  <c r="J10" i="2"/>
  <c r="H10" i="3" l="1"/>
  <c r="M10" i="3"/>
  <c r="B12" i="3"/>
  <c r="C11" i="3" s="1"/>
  <c r="J11" i="3"/>
  <c r="H9" i="3"/>
  <c r="H10" i="2"/>
  <c r="M10" i="2"/>
  <c r="B12" i="2"/>
  <c r="F11" i="2" s="1"/>
  <c r="C11" i="2"/>
  <c r="J11" i="2"/>
  <c r="M11" i="3" l="1"/>
  <c r="B13" i="3"/>
  <c r="C12" i="3" s="1"/>
  <c r="J12" i="3"/>
  <c r="F12" i="3"/>
  <c r="F11" i="3"/>
  <c r="H11" i="2"/>
  <c r="M11" i="2"/>
  <c r="B13" i="2"/>
  <c r="F12" i="2" s="1"/>
  <c r="C12" i="2"/>
  <c r="J12" i="2"/>
  <c r="H12" i="3" l="1"/>
  <c r="M12" i="3"/>
  <c r="B14" i="3"/>
  <c r="C13" i="3" s="1"/>
  <c r="J13" i="3"/>
  <c r="H11" i="3"/>
  <c r="H12" i="2"/>
  <c r="M12" i="2"/>
  <c r="B14" i="2"/>
  <c r="F13" i="2"/>
  <c r="C13" i="2"/>
  <c r="J13" i="2"/>
  <c r="M13" i="3" l="1"/>
  <c r="B15" i="3"/>
  <c r="C14" i="3" s="1"/>
  <c r="J14" i="3"/>
  <c r="F14" i="3"/>
  <c r="F13" i="3"/>
  <c r="H13" i="2"/>
  <c r="M13" i="2"/>
  <c r="B15" i="2"/>
  <c r="F14" i="2" s="1"/>
  <c r="C14" i="2"/>
  <c r="J14" i="2"/>
  <c r="H14" i="3" l="1"/>
  <c r="M14" i="3"/>
  <c r="B16" i="3"/>
  <c r="C15" i="3"/>
  <c r="J15" i="3"/>
  <c r="H13" i="3"/>
  <c r="H14" i="2"/>
  <c r="M14" i="2"/>
  <c r="B16" i="2"/>
  <c r="F15" i="2"/>
  <c r="C15" i="2"/>
  <c r="J15" i="2"/>
  <c r="M15" i="3" l="1"/>
  <c r="B17" i="3"/>
  <c r="C16" i="3" s="1"/>
  <c r="J16" i="3"/>
  <c r="F16" i="3"/>
  <c r="F15" i="3"/>
  <c r="H15" i="2"/>
  <c r="M15" i="2"/>
  <c r="B17" i="2"/>
  <c r="F16" i="2" s="1"/>
  <c r="C16" i="2"/>
  <c r="J16" i="2"/>
  <c r="H16" i="3" l="1"/>
  <c r="M16" i="3"/>
  <c r="B18" i="3"/>
  <c r="C17" i="3"/>
  <c r="J17" i="3"/>
  <c r="H15" i="3"/>
  <c r="H16" i="2"/>
  <c r="M16" i="2"/>
  <c r="B18" i="2"/>
  <c r="F17" i="2" s="1"/>
  <c r="C17" i="2"/>
  <c r="J17" i="2"/>
  <c r="M17" i="3" l="1"/>
  <c r="B19" i="3"/>
  <c r="C18" i="3" s="1"/>
  <c r="J18" i="3"/>
  <c r="F18" i="3"/>
  <c r="F17" i="3"/>
  <c r="H17" i="2"/>
  <c r="M17" i="2"/>
  <c r="B19" i="2"/>
  <c r="F18" i="2" s="1"/>
  <c r="C18" i="2"/>
  <c r="J18" i="2"/>
  <c r="H18" i="3" l="1"/>
  <c r="M18" i="3"/>
  <c r="B20" i="3"/>
  <c r="C19" i="3"/>
  <c r="J19" i="3"/>
  <c r="H17" i="3"/>
  <c r="H18" i="2"/>
  <c r="M18" i="2"/>
  <c r="B20" i="2"/>
  <c r="F19" i="2"/>
  <c r="C19" i="2"/>
  <c r="J19" i="2"/>
  <c r="M19" i="3" l="1"/>
  <c r="B21" i="3"/>
  <c r="C20" i="3" s="1"/>
  <c r="J20" i="3"/>
  <c r="F20" i="3"/>
  <c r="F19" i="3"/>
  <c r="H19" i="2"/>
  <c r="M19" i="2"/>
  <c r="B21" i="2"/>
  <c r="F20" i="2" s="1"/>
  <c r="C20" i="2"/>
  <c r="J20" i="2"/>
  <c r="H20" i="3" l="1"/>
  <c r="M20" i="3"/>
  <c r="B22" i="3"/>
  <c r="C21" i="3"/>
  <c r="J21" i="3"/>
  <c r="H19" i="3"/>
  <c r="H20" i="2"/>
  <c r="M20" i="2"/>
  <c r="B22" i="2"/>
  <c r="F21" i="2"/>
  <c r="C21" i="2"/>
  <c r="J21" i="2"/>
  <c r="M21" i="3" l="1"/>
  <c r="B23" i="3"/>
  <c r="C22" i="3" s="1"/>
  <c r="J22" i="3"/>
  <c r="F22" i="3"/>
  <c r="F21" i="3"/>
  <c r="H21" i="2"/>
  <c r="M21" i="2"/>
  <c r="B23" i="2"/>
  <c r="F22" i="2" s="1"/>
  <c r="C22" i="2"/>
  <c r="J22" i="2"/>
  <c r="H22" i="3" l="1"/>
  <c r="M22" i="3"/>
  <c r="B24" i="3"/>
  <c r="F23" i="3"/>
  <c r="C23" i="3"/>
  <c r="J23" i="3"/>
  <c r="H21" i="3"/>
  <c r="H22" i="2"/>
  <c r="M22" i="2"/>
  <c r="B24" i="2"/>
  <c r="F23" i="2" s="1"/>
  <c r="C23" i="2"/>
  <c r="J23" i="2"/>
  <c r="H23" i="3" l="1"/>
  <c r="M23" i="3"/>
  <c r="B25" i="3"/>
  <c r="C24" i="3" s="1"/>
  <c r="J24" i="3"/>
  <c r="H23" i="2"/>
  <c r="M23" i="2"/>
  <c r="B25" i="2"/>
  <c r="F24" i="2"/>
  <c r="C24" i="2"/>
  <c r="J24" i="2"/>
  <c r="M24" i="3" l="1"/>
  <c r="B26" i="3"/>
  <c r="C25" i="3" s="1"/>
  <c r="J25" i="3"/>
  <c r="F25" i="3"/>
  <c r="F24" i="3"/>
  <c r="H24" i="2"/>
  <c r="M24" i="2"/>
  <c r="B26" i="2"/>
  <c r="F25" i="2" s="1"/>
  <c r="C25" i="2"/>
  <c r="J25" i="2"/>
  <c r="H25" i="3" l="1"/>
  <c r="M25" i="3"/>
  <c r="B27" i="3"/>
  <c r="C26" i="3" s="1"/>
  <c r="J26" i="3"/>
  <c r="H24" i="3"/>
  <c r="H25" i="2"/>
  <c r="M25" i="2"/>
  <c r="B27" i="2"/>
  <c r="F26" i="2" s="1"/>
  <c r="C26" i="2"/>
  <c r="J26" i="2"/>
  <c r="M26" i="3" l="1"/>
  <c r="B28" i="3"/>
  <c r="C27" i="3" s="1"/>
  <c r="J27" i="3"/>
  <c r="F27" i="3"/>
  <c r="F26" i="3"/>
  <c r="H26" i="2"/>
  <c r="M26" i="2"/>
  <c r="B28" i="2"/>
  <c r="C27" i="2" s="1"/>
  <c r="J27" i="2"/>
  <c r="H27" i="3" l="1"/>
  <c r="M27" i="3"/>
  <c r="B29" i="3"/>
  <c r="C28" i="3" s="1"/>
  <c r="J28" i="3"/>
  <c r="H26" i="3"/>
  <c r="M27" i="2"/>
  <c r="B29" i="2"/>
  <c r="F28" i="2" s="1"/>
  <c r="C28" i="2"/>
  <c r="J28" i="2"/>
  <c r="F27" i="2"/>
  <c r="M28" i="3" l="1"/>
  <c r="B30" i="3"/>
  <c r="C29" i="3" s="1"/>
  <c r="J29" i="3"/>
  <c r="F29" i="3"/>
  <c r="F28" i="3"/>
  <c r="H28" i="2"/>
  <c r="M28" i="2"/>
  <c r="B30" i="2"/>
  <c r="F29" i="2" s="1"/>
  <c r="C29" i="2"/>
  <c r="J29" i="2"/>
  <c r="H27" i="2"/>
  <c r="H29" i="3" l="1"/>
  <c r="M29" i="3"/>
  <c r="B31" i="3"/>
  <c r="C30" i="3"/>
  <c r="J30" i="3"/>
  <c r="H28" i="3"/>
  <c r="H29" i="2"/>
  <c r="M29" i="2"/>
  <c r="B31" i="2"/>
  <c r="F30" i="2"/>
  <c r="C30" i="2"/>
  <c r="J30" i="2"/>
  <c r="M30" i="3" l="1"/>
  <c r="B32" i="3"/>
  <c r="C31" i="3" s="1"/>
  <c r="J31" i="3"/>
  <c r="F31" i="3"/>
  <c r="F30" i="3"/>
  <c r="H30" i="2"/>
  <c r="M30" i="2"/>
  <c r="B32" i="2"/>
  <c r="F31" i="2" s="1"/>
  <c r="C31" i="2"/>
  <c r="J31" i="2"/>
  <c r="H31" i="3" l="1"/>
  <c r="M31" i="3"/>
  <c r="B33" i="3"/>
  <c r="C32" i="3"/>
  <c r="J32" i="3"/>
  <c r="H30" i="3"/>
  <c r="H31" i="2"/>
  <c r="M31" i="2"/>
  <c r="B33" i="2"/>
  <c r="C32" i="2" s="1"/>
  <c r="J32" i="2"/>
  <c r="M32" i="3" l="1"/>
  <c r="B34" i="3"/>
  <c r="C33" i="3" s="1"/>
  <c r="J33" i="3"/>
  <c r="F33" i="3"/>
  <c r="F32" i="3"/>
  <c r="M32" i="2"/>
  <c r="B34" i="2"/>
  <c r="C33" i="2"/>
  <c r="J33" i="2"/>
  <c r="F32" i="2"/>
  <c r="H33" i="3" l="1"/>
  <c r="M33" i="3"/>
  <c r="B35" i="3"/>
  <c r="F34" i="3"/>
  <c r="C34" i="3"/>
  <c r="J34" i="3"/>
  <c r="H32" i="3"/>
  <c r="M33" i="2"/>
  <c r="B35" i="2"/>
  <c r="F34" i="2"/>
  <c r="C34" i="2"/>
  <c r="J34" i="2"/>
  <c r="H32" i="2"/>
  <c r="F33" i="2"/>
  <c r="H34" i="3" l="1"/>
  <c r="M34" i="3"/>
  <c r="B36" i="3"/>
  <c r="C35" i="3" s="1"/>
  <c r="J35" i="3"/>
  <c r="F35" i="3"/>
  <c r="H34" i="2"/>
  <c r="M34" i="2"/>
  <c r="B36" i="2"/>
  <c r="F35" i="2" s="1"/>
  <c r="C35" i="2"/>
  <c r="J35" i="2"/>
  <c r="H33" i="2"/>
  <c r="H35" i="3" l="1"/>
  <c r="M35" i="3"/>
  <c r="B37" i="3"/>
  <c r="C36" i="3" s="1"/>
  <c r="J36" i="3"/>
  <c r="H35" i="2"/>
  <c r="M35" i="2"/>
  <c r="B37" i="2"/>
  <c r="J36" i="2"/>
  <c r="M36" i="3" l="1"/>
  <c r="B38" i="3"/>
  <c r="C37" i="3" s="1"/>
  <c r="J37" i="3"/>
  <c r="F37" i="3"/>
  <c r="F36" i="3"/>
  <c r="B38" i="2"/>
  <c r="F37" i="2" s="1"/>
  <c r="J37" i="2"/>
  <c r="F36" i="2"/>
  <c r="C36" i="2"/>
  <c r="C37" i="2" l="1"/>
  <c r="H37" i="3"/>
  <c r="M37" i="3"/>
  <c r="B39" i="3"/>
  <c r="C38" i="3" s="1"/>
  <c r="J38" i="3"/>
  <c r="H36" i="3"/>
  <c r="H36" i="2"/>
  <c r="M36" i="2"/>
  <c r="H37" i="2"/>
  <c r="M37" i="2"/>
  <c r="B39" i="2"/>
  <c r="C38" i="2" s="1"/>
  <c r="J38" i="2"/>
  <c r="M38" i="3" l="1"/>
  <c r="B40" i="3"/>
  <c r="C39" i="3" s="1"/>
  <c r="J39" i="3"/>
  <c r="F39" i="3"/>
  <c r="F38" i="3"/>
  <c r="M38" i="2"/>
  <c r="B40" i="2"/>
  <c r="F39" i="2"/>
  <c r="C39" i="2"/>
  <c r="J39" i="2"/>
  <c r="F38" i="2"/>
  <c r="H39" i="3" l="1"/>
  <c r="M39" i="3"/>
  <c r="B41" i="3"/>
  <c r="C40" i="3" s="1"/>
  <c r="J40" i="3"/>
  <c r="H38" i="3"/>
  <c r="H39" i="2"/>
  <c r="M39" i="2"/>
  <c r="B41" i="2"/>
  <c r="C40" i="2"/>
  <c r="J40" i="2"/>
  <c r="H38" i="2"/>
  <c r="M40" i="3" l="1"/>
  <c r="B42" i="3"/>
  <c r="C41" i="3" s="1"/>
  <c r="J41" i="3"/>
  <c r="F41" i="3"/>
  <c r="F40" i="3"/>
  <c r="M40" i="2"/>
  <c r="B42" i="2"/>
  <c r="F41" i="2" s="1"/>
  <c r="C41" i="2"/>
  <c r="J41" i="2"/>
  <c r="F40" i="2"/>
  <c r="H41" i="3" l="1"/>
  <c r="M41" i="3"/>
  <c r="B43" i="3"/>
  <c r="F42" i="3"/>
  <c r="C42" i="3"/>
  <c r="J42" i="3"/>
  <c r="H40" i="3"/>
  <c r="H41" i="2"/>
  <c r="M41" i="2"/>
  <c r="B43" i="2"/>
  <c r="C42" i="2" s="1"/>
  <c r="J42" i="2"/>
  <c r="H40" i="2"/>
  <c r="H42" i="3" l="1"/>
  <c r="M42" i="3"/>
  <c r="B44" i="3"/>
  <c r="C43" i="3" s="1"/>
  <c r="J43" i="3"/>
  <c r="F43" i="3"/>
  <c r="M42" i="2"/>
  <c r="B44" i="2"/>
  <c r="F43" i="2"/>
  <c r="C43" i="2"/>
  <c r="J43" i="2"/>
  <c r="F42" i="2"/>
  <c r="H43" i="3" l="1"/>
  <c r="M43" i="3"/>
  <c r="B45" i="3"/>
  <c r="C44" i="3" s="1"/>
  <c r="J44" i="3"/>
  <c r="H43" i="2"/>
  <c r="M43" i="2"/>
  <c r="B45" i="2"/>
  <c r="F44" i="2" s="1"/>
  <c r="C44" i="2"/>
  <c r="J44" i="2"/>
  <c r="H42" i="2"/>
  <c r="M44" i="3" l="1"/>
  <c r="B46" i="3"/>
  <c r="C45" i="3" s="1"/>
  <c r="J45" i="3"/>
  <c r="F45" i="3"/>
  <c r="F44" i="3"/>
  <c r="H44" i="2"/>
  <c r="M44" i="2"/>
  <c r="C45" i="2"/>
  <c r="B46" i="2"/>
  <c r="J45" i="2"/>
  <c r="H45" i="3" l="1"/>
  <c r="M45" i="3"/>
  <c r="B47" i="3"/>
  <c r="F46" i="3"/>
  <c r="C46" i="3"/>
  <c r="J46" i="3"/>
  <c r="H44" i="3"/>
  <c r="M45" i="2"/>
  <c r="B47" i="2"/>
  <c r="C46" i="2"/>
  <c r="J46" i="2"/>
  <c r="F45" i="2"/>
  <c r="H46" i="3" l="1"/>
  <c r="M46" i="3"/>
  <c r="B48" i="3"/>
  <c r="C47" i="3" s="1"/>
  <c r="J47" i="3"/>
  <c r="F47" i="3"/>
  <c r="M46" i="2"/>
  <c r="B48" i="2"/>
  <c r="C47" i="2" s="1"/>
  <c r="J47" i="2"/>
  <c r="F46" i="2"/>
  <c r="H45" i="2"/>
  <c r="H47" i="3" l="1"/>
  <c r="M47" i="3"/>
  <c r="B49" i="3"/>
  <c r="C48" i="3" s="1"/>
  <c r="J48" i="3"/>
  <c r="M47" i="2"/>
  <c r="B49" i="2"/>
  <c r="F48" i="2" s="1"/>
  <c r="J48" i="2"/>
  <c r="F47" i="2"/>
  <c r="H47" i="2" s="1"/>
  <c r="H46" i="2"/>
  <c r="C48" i="2" l="1"/>
  <c r="M48" i="3"/>
  <c r="B50" i="3"/>
  <c r="C49" i="3" s="1"/>
  <c r="J49" i="3"/>
  <c r="F49" i="3"/>
  <c r="F48" i="3"/>
  <c r="H48" i="2"/>
  <c r="M48" i="2"/>
  <c r="B50" i="2"/>
  <c r="J49" i="2"/>
  <c r="H49" i="3" l="1"/>
  <c r="M49" i="3"/>
  <c r="B51" i="3"/>
  <c r="C50" i="3"/>
  <c r="J50" i="3"/>
  <c r="H48" i="3"/>
  <c r="B51" i="2"/>
  <c r="F50" i="2" s="1"/>
  <c r="C50" i="2"/>
  <c r="J50" i="2"/>
  <c r="F49" i="2"/>
  <c r="C49" i="2"/>
  <c r="M50" i="3" l="1"/>
  <c r="B52" i="3"/>
  <c r="C51" i="3" s="1"/>
  <c r="J51" i="3"/>
  <c r="F51" i="3"/>
  <c r="F50" i="3"/>
  <c r="H49" i="2"/>
  <c r="M49" i="2"/>
  <c r="H50" i="2"/>
  <c r="M50" i="2"/>
  <c r="B52" i="2"/>
  <c r="J51" i="2"/>
  <c r="H51" i="3" l="1"/>
  <c r="M51" i="3"/>
  <c r="B53" i="3"/>
  <c r="C52" i="3"/>
  <c r="J52" i="3"/>
  <c r="H50" i="3"/>
  <c r="B53" i="2"/>
  <c r="F52" i="2"/>
  <c r="C52" i="2"/>
  <c r="J52" i="2"/>
  <c r="F51" i="2"/>
  <c r="C51" i="2"/>
  <c r="M52" i="3" l="1"/>
  <c r="B54" i="3"/>
  <c r="C53" i="3" s="1"/>
  <c r="J53" i="3"/>
  <c r="F53" i="3"/>
  <c r="F52" i="3"/>
  <c r="H51" i="2"/>
  <c r="M51" i="2"/>
  <c r="H52" i="2"/>
  <c r="M52" i="2"/>
  <c r="C53" i="2"/>
  <c r="B54" i="2"/>
  <c r="J53" i="2"/>
  <c r="H53" i="3" l="1"/>
  <c r="M53" i="3"/>
  <c r="B55" i="3"/>
  <c r="C54" i="3"/>
  <c r="J54" i="3"/>
  <c r="H52" i="3"/>
  <c r="M53" i="2"/>
  <c r="B55" i="2"/>
  <c r="F54" i="2"/>
  <c r="C54" i="2"/>
  <c r="J54" i="2"/>
  <c r="F53" i="2"/>
  <c r="H53" i="2" s="1"/>
  <c r="M54" i="3" l="1"/>
  <c r="B56" i="3"/>
  <c r="C55" i="3" s="1"/>
  <c r="J55" i="3"/>
  <c r="F55" i="3"/>
  <c r="F54" i="3"/>
  <c r="H54" i="2"/>
  <c r="M54" i="2"/>
  <c r="B56" i="2"/>
  <c r="J55" i="2"/>
  <c r="H55" i="3" l="1"/>
  <c r="M55" i="3"/>
  <c r="B57" i="3"/>
  <c r="F56" i="3"/>
  <c r="C56" i="3"/>
  <c r="J56" i="3"/>
  <c r="H54" i="3"/>
  <c r="B57" i="2"/>
  <c r="F56" i="2" s="1"/>
  <c r="C56" i="2"/>
  <c r="J56" i="2"/>
  <c r="F55" i="2"/>
  <c r="C55" i="2"/>
  <c r="H56" i="3" l="1"/>
  <c r="M56" i="3"/>
  <c r="B58" i="3"/>
  <c r="J57" i="3"/>
  <c r="F57" i="3"/>
  <c r="H55" i="2"/>
  <c r="M55" i="2"/>
  <c r="H56" i="2"/>
  <c r="M56" i="2"/>
  <c r="B58" i="2"/>
  <c r="J57" i="2"/>
  <c r="B59" i="3" l="1"/>
  <c r="C58" i="3"/>
  <c r="J58" i="3"/>
  <c r="C57" i="3"/>
  <c r="B59" i="2"/>
  <c r="F58" i="2"/>
  <c r="C58" i="2"/>
  <c r="J58" i="2"/>
  <c r="F57" i="2"/>
  <c r="C57" i="2"/>
  <c r="H57" i="3" l="1"/>
  <c r="M57" i="3"/>
  <c r="M58" i="3"/>
  <c r="B60" i="3"/>
  <c r="C59" i="3" s="1"/>
  <c r="J59" i="3"/>
  <c r="F59" i="3"/>
  <c r="F58" i="3"/>
  <c r="H57" i="2"/>
  <c r="M57" i="2"/>
  <c r="H58" i="2"/>
  <c r="M58" i="2"/>
  <c r="B60" i="2"/>
  <c r="J59" i="2"/>
  <c r="H59" i="3" l="1"/>
  <c r="M59" i="3"/>
  <c r="B61" i="3"/>
  <c r="C60" i="3"/>
  <c r="J60" i="3"/>
  <c r="H58" i="3"/>
  <c r="B61" i="2"/>
  <c r="F60" i="2"/>
  <c r="C60" i="2"/>
  <c r="J60" i="2"/>
  <c r="F59" i="2"/>
  <c r="C59" i="2"/>
  <c r="M60" i="3" l="1"/>
  <c r="B62" i="3"/>
  <c r="C61" i="3" s="1"/>
  <c r="J61" i="3"/>
  <c r="F61" i="3"/>
  <c r="F60" i="3"/>
  <c r="H59" i="2"/>
  <c r="M59" i="2"/>
  <c r="H60" i="2"/>
  <c r="M60" i="2"/>
  <c r="B62" i="2"/>
  <c r="J61" i="2"/>
  <c r="H61" i="3" l="1"/>
  <c r="M61" i="3"/>
  <c r="B63" i="3"/>
  <c r="F62" i="3"/>
  <c r="C62" i="3"/>
  <c r="J62" i="3"/>
  <c r="H60" i="3"/>
  <c r="B63" i="2"/>
  <c r="F62" i="2" s="1"/>
  <c r="C62" i="2"/>
  <c r="J62" i="2"/>
  <c r="F61" i="2"/>
  <c r="C61" i="2"/>
  <c r="H62" i="3" l="1"/>
  <c r="M62" i="3"/>
  <c r="B64" i="3"/>
  <c r="C63" i="3" s="1"/>
  <c r="J63" i="3"/>
  <c r="F63" i="3"/>
  <c r="H61" i="2"/>
  <c r="M61" i="2"/>
  <c r="H62" i="2"/>
  <c r="M62" i="2"/>
  <c r="C63" i="2"/>
  <c r="B64" i="2"/>
  <c r="J63" i="2"/>
  <c r="H63" i="3" l="1"/>
  <c r="M63" i="3"/>
  <c r="B65" i="3"/>
  <c r="C64" i="3" s="1"/>
  <c r="J64" i="3"/>
  <c r="M63" i="2"/>
  <c r="B65" i="2"/>
  <c r="C64" i="2" s="1"/>
  <c r="J64" i="2"/>
  <c r="F63" i="2"/>
  <c r="M64" i="3" l="1"/>
  <c r="B66" i="3"/>
  <c r="C65" i="3" s="1"/>
  <c r="J65" i="3"/>
  <c r="F65" i="3"/>
  <c r="F64" i="3"/>
  <c r="M64" i="2"/>
  <c r="B66" i="2"/>
  <c r="C65" i="2" s="1"/>
  <c r="J65" i="2"/>
  <c r="H63" i="2"/>
  <c r="F64" i="2"/>
  <c r="H65" i="3" l="1"/>
  <c r="M65" i="3"/>
  <c r="B67" i="3"/>
  <c r="C66" i="3"/>
  <c r="J66" i="3"/>
  <c r="H64" i="3"/>
  <c r="M65" i="2"/>
  <c r="B67" i="2"/>
  <c r="F66" i="2"/>
  <c r="C66" i="2"/>
  <c r="J66" i="2"/>
  <c r="F65" i="2"/>
  <c r="H65" i="2" s="1"/>
  <c r="H64" i="2"/>
  <c r="M66" i="3" l="1"/>
  <c r="B68" i="3"/>
  <c r="C67" i="3" s="1"/>
  <c r="J67" i="3"/>
  <c r="F67" i="3"/>
  <c r="F66" i="3"/>
  <c r="H66" i="2"/>
  <c r="M66" i="2"/>
  <c r="B68" i="2"/>
  <c r="C67" i="2" s="1"/>
  <c r="J67" i="2"/>
  <c r="H67" i="3" l="1"/>
  <c r="M67" i="3"/>
  <c r="B69" i="3"/>
  <c r="F68" i="3"/>
  <c r="C68" i="3"/>
  <c r="J68" i="3"/>
  <c r="H66" i="3"/>
  <c r="M67" i="2"/>
  <c r="B69" i="2"/>
  <c r="F68" i="2"/>
  <c r="C68" i="2"/>
  <c r="J68" i="2"/>
  <c r="F67" i="2"/>
  <c r="H68" i="3" l="1"/>
  <c r="M68" i="3"/>
  <c r="B70" i="3"/>
  <c r="C69" i="3" s="1"/>
  <c r="J69" i="3"/>
  <c r="H68" i="2"/>
  <c r="M68" i="2"/>
  <c r="B70" i="2"/>
  <c r="J69" i="2"/>
  <c r="H67" i="2"/>
  <c r="M69" i="3" l="1"/>
  <c r="B71" i="3"/>
  <c r="F70" i="3" s="1"/>
  <c r="J70" i="3"/>
  <c r="F69" i="3"/>
  <c r="H69" i="3" s="1"/>
  <c r="B71" i="2"/>
  <c r="F70" i="2"/>
  <c r="C70" i="2"/>
  <c r="J70" i="2"/>
  <c r="F69" i="2"/>
  <c r="C69" i="2"/>
  <c r="C70" i="3" l="1"/>
  <c r="H70" i="3" s="1"/>
  <c r="B72" i="3"/>
  <c r="J71" i="3"/>
  <c r="H70" i="2"/>
  <c r="M70" i="2"/>
  <c r="B72" i="2"/>
  <c r="C71" i="2" s="1"/>
  <c r="J71" i="2"/>
  <c r="H69" i="2"/>
  <c r="M69" i="2"/>
  <c r="M70" i="3" l="1"/>
  <c r="B73" i="3"/>
  <c r="F72" i="3" s="1"/>
  <c r="J72" i="3"/>
  <c r="F71" i="3"/>
  <c r="C71" i="3"/>
  <c r="M71" i="2"/>
  <c r="B73" i="2"/>
  <c r="F72" i="2" s="1"/>
  <c r="J72" i="2"/>
  <c r="F71" i="2"/>
  <c r="C72" i="2" l="1"/>
  <c r="C72" i="3"/>
  <c r="H71" i="3"/>
  <c r="M71" i="3"/>
  <c r="H72" i="3"/>
  <c r="M72" i="3"/>
  <c r="C73" i="3"/>
  <c r="B74" i="3"/>
  <c r="J73" i="3"/>
  <c r="H71" i="2"/>
  <c r="H72" i="2"/>
  <c r="M72" i="2"/>
  <c r="B74" i="2"/>
  <c r="C73" i="2" s="1"/>
  <c r="J73" i="2"/>
  <c r="M73" i="3" l="1"/>
  <c r="B75" i="3"/>
  <c r="F74" i="3" s="1"/>
  <c r="J74" i="3"/>
  <c r="F73" i="3"/>
  <c r="H73" i="3" s="1"/>
  <c r="M73" i="2"/>
  <c r="B75" i="2"/>
  <c r="F74" i="2" s="1"/>
  <c r="C74" i="2"/>
  <c r="J74" i="2"/>
  <c r="F73" i="2"/>
  <c r="H73" i="2" s="1"/>
  <c r="C74" i="3" l="1"/>
  <c r="H74" i="3" s="1"/>
  <c r="M74" i="3"/>
  <c r="B76" i="3"/>
  <c r="C75" i="3" s="1"/>
  <c r="J75" i="3"/>
  <c r="H74" i="2"/>
  <c r="M74" i="2"/>
  <c r="B76" i="2"/>
  <c r="J75" i="2"/>
  <c r="M75" i="3" l="1"/>
  <c r="B77" i="3"/>
  <c r="C76" i="3" s="1"/>
  <c r="J76" i="3"/>
  <c r="F75" i="3"/>
  <c r="B77" i="2"/>
  <c r="F76" i="2"/>
  <c r="C76" i="2"/>
  <c r="J76" i="2"/>
  <c r="F75" i="2"/>
  <c r="C75" i="2"/>
  <c r="M76" i="3" l="1"/>
  <c r="B78" i="3"/>
  <c r="J77" i="3"/>
  <c r="F76" i="3"/>
  <c r="H76" i="3" s="1"/>
  <c r="H75" i="3"/>
  <c r="H75" i="2"/>
  <c r="M75" i="2"/>
  <c r="H76" i="2"/>
  <c r="M76" i="2"/>
  <c r="B78" i="2"/>
  <c r="J77" i="2"/>
  <c r="B79" i="3" l="1"/>
  <c r="F78" i="3" s="1"/>
  <c r="J78" i="3"/>
  <c r="F77" i="3"/>
  <c r="C77" i="3"/>
  <c r="B79" i="2"/>
  <c r="F78" i="2"/>
  <c r="C78" i="2"/>
  <c r="J78" i="2"/>
  <c r="F77" i="2"/>
  <c r="C77" i="2"/>
  <c r="C78" i="3" l="1"/>
  <c r="H77" i="3"/>
  <c r="M77" i="3"/>
  <c r="H78" i="3"/>
  <c r="M78" i="3"/>
  <c r="B80" i="3"/>
  <c r="J79" i="3"/>
  <c r="H77" i="2"/>
  <c r="M77" i="2"/>
  <c r="H78" i="2"/>
  <c r="M78" i="2"/>
  <c r="B80" i="2"/>
  <c r="J79" i="2"/>
  <c r="B81" i="3" l="1"/>
  <c r="F80" i="3" s="1"/>
  <c r="J80" i="3"/>
  <c r="F79" i="3"/>
  <c r="C79" i="3"/>
  <c r="B81" i="2"/>
  <c r="F80" i="2" s="1"/>
  <c r="C80" i="2"/>
  <c r="J80" i="2"/>
  <c r="F79" i="2"/>
  <c r="C79" i="2"/>
  <c r="C80" i="3" l="1"/>
  <c r="H79" i="3"/>
  <c r="M79" i="3"/>
  <c r="H80" i="3"/>
  <c r="M80" i="3"/>
  <c r="B82" i="3"/>
  <c r="J81" i="3"/>
  <c r="H79" i="2"/>
  <c r="M79" i="2"/>
  <c r="H80" i="2"/>
  <c r="M80" i="2"/>
  <c r="B82" i="2"/>
  <c r="J81" i="2"/>
  <c r="B83" i="3" l="1"/>
  <c r="F82" i="3" s="1"/>
  <c r="C82" i="3"/>
  <c r="J82" i="3"/>
  <c r="F81" i="3"/>
  <c r="C81" i="3"/>
  <c r="B83" i="2"/>
  <c r="F82" i="2"/>
  <c r="C82" i="2"/>
  <c r="J82" i="2"/>
  <c r="F81" i="2"/>
  <c r="C81" i="2"/>
  <c r="H81" i="3" l="1"/>
  <c r="M81" i="3"/>
  <c r="H82" i="3"/>
  <c r="M82" i="3"/>
  <c r="B84" i="3"/>
  <c r="C83" i="3" s="1"/>
  <c r="J83" i="3"/>
  <c r="H81" i="2"/>
  <c r="M81" i="2"/>
  <c r="H82" i="2"/>
  <c r="M82" i="2"/>
  <c r="B84" i="2"/>
  <c r="J83" i="2"/>
  <c r="M83" i="3" l="1"/>
  <c r="B85" i="3"/>
  <c r="C84" i="3" s="1"/>
  <c r="J84" i="3"/>
  <c r="F83" i="3"/>
  <c r="B85" i="2"/>
  <c r="F84" i="2"/>
  <c r="C84" i="2"/>
  <c r="J84" i="2"/>
  <c r="F83" i="2"/>
  <c r="C83" i="2"/>
  <c r="M84" i="3" l="1"/>
  <c r="B86" i="3"/>
  <c r="C85" i="3" s="1"/>
  <c r="J85" i="3"/>
  <c r="F84" i="3"/>
  <c r="H83" i="3"/>
  <c r="H83" i="2"/>
  <c r="M83" i="2"/>
  <c r="H84" i="2"/>
  <c r="M84" i="2"/>
  <c r="B86" i="2"/>
  <c r="J85" i="2"/>
  <c r="M85" i="3" l="1"/>
  <c r="B87" i="3"/>
  <c r="C86" i="3" s="1"/>
  <c r="J86" i="3"/>
  <c r="F85" i="3"/>
  <c r="H84" i="3"/>
  <c r="B87" i="2"/>
  <c r="F86" i="2" s="1"/>
  <c r="C86" i="2"/>
  <c r="J86" i="2"/>
  <c r="F85" i="2"/>
  <c r="C85" i="2"/>
  <c r="M86" i="3" l="1"/>
  <c r="B88" i="3"/>
  <c r="J87" i="3"/>
  <c r="F86" i="3"/>
  <c r="H85" i="3"/>
  <c r="H85" i="2"/>
  <c r="M85" i="2"/>
  <c r="H86" i="2"/>
  <c r="M86" i="2"/>
  <c r="B88" i="2"/>
  <c r="J87" i="2"/>
  <c r="B89" i="3" l="1"/>
  <c r="C88" i="3" s="1"/>
  <c r="J88" i="3"/>
  <c r="F87" i="3"/>
  <c r="H86" i="3"/>
  <c r="C87" i="3"/>
  <c r="C88" i="2"/>
  <c r="B89" i="2"/>
  <c r="J88" i="2"/>
  <c r="F87" i="2"/>
  <c r="C87" i="2"/>
  <c r="M88" i="3" l="1"/>
  <c r="H87" i="3"/>
  <c r="M87" i="3"/>
  <c r="B90" i="3"/>
  <c r="F89" i="3" s="1"/>
  <c r="J89" i="3"/>
  <c r="F88" i="3"/>
  <c r="H87" i="2"/>
  <c r="M87" i="2"/>
  <c r="M88" i="2"/>
  <c r="B90" i="2"/>
  <c r="F89" i="2"/>
  <c r="C89" i="2"/>
  <c r="J89" i="2"/>
  <c r="F88" i="2"/>
  <c r="H88" i="2" s="1"/>
  <c r="C89" i="3" l="1"/>
  <c r="H89" i="3" s="1"/>
  <c r="M89" i="3"/>
  <c r="B91" i="3"/>
  <c r="C90" i="3" s="1"/>
  <c r="J90" i="3"/>
  <c r="H88" i="3"/>
  <c r="H89" i="2"/>
  <c r="M89" i="2"/>
  <c r="B91" i="2"/>
  <c r="J90" i="2"/>
  <c r="M90" i="3" l="1"/>
  <c r="B92" i="3"/>
  <c r="C91" i="3" s="1"/>
  <c r="J91" i="3"/>
  <c r="F90" i="3"/>
  <c r="B92" i="2"/>
  <c r="F91" i="2"/>
  <c r="C91" i="2"/>
  <c r="J91" i="2"/>
  <c r="F90" i="2"/>
  <c r="C90" i="2"/>
  <c r="M91" i="3" l="1"/>
  <c r="C92" i="3"/>
  <c r="B93" i="3"/>
  <c r="J92" i="3"/>
  <c r="H90" i="3"/>
  <c r="F91" i="3"/>
  <c r="H90" i="2"/>
  <c r="M90" i="2"/>
  <c r="H91" i="2"/>
  <c r="M91" i="2"/>
  <c r="B93" i="2"/>
  <c r="C92" i="2" s="1"/>
  <c r="J92" i="2"/>
  <c r="M92" i="3" l="1"/>
  <c r="B94" i="3"/>
  <c r="F93" i="3" s="1"/>
  <c r="C93" i="3"/>
  <c r="J93" i="3"/>
  <c r="F92" i="3"/>
  <c r="H91" i="3"/>
  <c r="M92" i="2"/>
  <c r="B94" i="2"/>
  <c r="F93" i="2" s="1"/>
  <c r="C93" i="2"/>
  <c r="J93" i="2"/>
  <c r="F92" i="2"/>
  <c r="H93" i="3" l="1"/>
  <c r="M93" i="3"/>
  <c r="B95" i="3"/>
  <c r="J94" i="3"/>
  <c r="H92" i="3"/>
  <c r="H93" i="2"/>
  <c r="M93" i="2"/>
  <c r="C94" i="2"/>
  <c r="B95" i="2"/>
  <c r="J94" i="2"/>
  <c r="H92" i="2"/>
  <c r="B96" i="3" l="1"/>
  <c r="F95" i="3" s="1"/>
  <c r="J95" i="3"/>
  <c r="F94" i="3"/>
  <c r="C94" i="3"/>
  <c r="B96" i="2"/>
  <c r="F95" i="2"/>
  <c r="C95" i="2"/>
  <c r="J95" i="2"/>
  <c r="F94" i="2"/>
  <c r="H94" i="2"/>
  <c r="M94" i="2"/>
  <c r="C95" i="3" l="1"/>
  <c r="H94" i="3"/>
  <c r="M94" i="3"/>
  <c r="H95" i="3"/>
  <c r="M95" i="3"/>
  <c r="C96" i="3"/>
  <c r="B97" i="3"/>
  <c r="J96" i="3"/>
  <c r="H95" i="2"/>
  <c r="M95" i="2"/>
  <c r="B97" i="2"/>
  <c r="C96" i="2" s="1"/>
  <c r="J96" i="2"/>
  <c r="M96" i="3" l="1"/>
  <c r="B98" i="3"/>
  <c r="F97" i="3" s="1"/>
  <c r="C97" i="3"/>
  <c r="J97" i="3"/>
  <c r="F96" i="3"/>
  <c r="H96" i="3" s="1"/>
  <c r="B98" i="2"/>
  <c r="F97" i="2" s="1"/>
  <c r="J97" i="2"/>
  <c r="F96" i="2"/>
  <c r="H96" i="2"/>
  <c r="M96" i="2"/>
  <c r="C97" i="2" l="1"/>
  <c r="H97" i="3"/>
  <c r="M97" i="3"/>
  <c r="B99" i="3"/>
  <c r="C98" i="3" s="1"/>
  <c r="J98" i="3"/>
  <c r="H97" i="2"/>
  <c r="M97" i="2"/>
  <c r="B99" i="2"/>
  <c r="J98" i="2"/>
  <c r="M98" i="3" l="1"/>
  <c r="B100" i="3"/>
  <c r="C99" i="3" s="1"/>
  <c r="J99" i="3"/>
  <c r="F98" i="3"/>
  <c r="B100" i="2"/>
  <c r="F99" i="2"/>
  <c r="C99" i="2"/>
  <c r="J99" i="2"/>
  <c r="F98" i="2"/>
  <c r="C98" i="2"/>
  <c r="M99" i="3" l="1"/>
  <c r="B101" i="3"/>
  <c r="J100" i="3"/>
  <c r="F99" i="3"/>
  <c r="H99" i="3" s="1"/>
  <c r="H98" i="3"/>
  <c r="H98" i="2"/>
  <c r="M98" i="2"/>
  <c r="H99" i="2"/>
  <c r="M99" i="2"/>
  <c r="C100" i="2"/>
  <c r="B101" i="2"/>
  <c r="J100" i="2"/>
  <c r="B102" i="3" l="1"/>
  <c r="F101" i="3" s="1"/>
  <c r="J101" i="3"/>
  <c r="F100" i="3"/>
  <c r="C100" i="3"/>
  <c r="M100" i="2"/>
  <c r="B102" i="2"/>
  <c r="C101" i="2" s="1"/>
  <c r="J101" i="2"/>
  <c r="F100" i="2"/>
  <c r="C101" i="3" l="1"/>
  <c r="H101" i="3" s="1"/>
  <c r="H100" i="3"/>
  <c r="M100" i="3"/>
  <c r="M101" i="3"/>
  <c r="F102" i="3"/>
  <c r="C102" i="3"/>
  <c r="J102" i="3"/>
  <c r="M101" i="2"/>
  <c r="F102" i="2"/>
  <c r="C102" i="2"/>
  <c r="J102" i="2"/>
  <c r="K101" i="2"/>
  <c r="F101" i="2"/>
  <c r="G101" i="2" s="1"/>
  <c r="I101" i="2" s="1"/>
  <c r="K97" i="2"/>
  <c r="H100" i="2"/>
  <c r="K100" i="2"/>
  <c r="K102" i="3" l="1"/>
  <c r="L102" i="3" s="1"/>
  <c r="K3" i="3"/>
  <c r="K2" i="3"/>
  <c r="K4" i="3"/>
  <c r="K7" i="3"/>
  <c r="K5" i="3"/>
  <c r="K6" i="3"/>
  <c r="K9" i="3"/>
  <c r="K8" i="3"/>
  <c r="K11" i="3"/>
  <c r="K10" i="3"/>
  <c r="K12" i="3"/>
  <c r="K15" i="3"/>
  <c r="K13" i="3"/>
  <c r="K17" i="3"/>
  <c r="K16" i="3"/>
  <c r="K14" i="3"/>
  <c r="K18" i="3"/>
  <c r="K19" i="3"/>
  <c r="K20" i="3"/>
  <c r="K21" i="3"/>
  <c r="K22" i="3"/>
  <c r="K24" i="3"/>
  <c r="K23" i="3"/>
  <c r="K25" i="3"/>
  <c r="K26" i="3"/>
  <c r="K27" i="3"/>
  <c r="K28" i="3"/>
  <c r="K30" i="3"/>
  <c r="K29" i="3"/>
  <c r="K31" i="3"/>
  <c r="K32" i="3"/>
  <c r="K35" i="3"/>
  <c r="K33" i="3"/>
  <c r="K36" i="3"/>
  <c r="K34" i="3"/>
  <c r="K37" i="3"/>
  <c r="K39" i="3"/>
  <c r="K38" i="3"/>
  <c r="K41" i="3"/>
  <c r="K40" i="3"/>
  <c r="K42" i="3"/>
  <c r="K44" i="3"/>
  <c r="K43" i="3"/>
  <c r="K45" i="3"/>
  <c r="K47" i="3"/>
  <c r="K46" i="3"/>
  <c r="K48" i="3"/>
  <c r="K49" i="3"/>
  <c r="K52" i="3"/>
  <c r="K51" i="3"/>
  <c r="K50" i="3"/>
  <c r="K53" i="3"/>
  <c r="K55" i="3"/>
  <c r="K54" i="3"/>
  <c r="K56" i="3"/>
  <c r="K57" i="3"/>
  <c r="K58" i="3"/>
  <c r="K60" i="3"/>
  <c r="K59" i="3"/>
  <c r="K63" i="3"/>
  <c r="K61" i="3"/>
  <c r="K62" i="3"/>
  <c r="K66" i="3"/>
  <c r="K65" i="3"/>
  <c r="K64" i="3"/>
  <c r="K67" i="3"/>
  <c r="K68" i="3"/>
  <c r="K69" i="3"/>
  <c r="K70" i="3"/>
  <c r="K71" i="3"/>
  <c r="K74" i="3"/>
  <c r="K72" i="3"/>
  <c r="K73" i="3"/>
  <c r="K75" i="3"/>
  <c r="K77" i="3"/>
  <c r="K76" i="3"/>
  <c r="K78" i="3"/>
  <c r="K79" i="3"/>
  <c r="K80" i="3"/>
  <c r="K81" i="3"/>
  <c r="K83" i="3"/>
  <c r="K82" i="3"/>
  <c r="K84" i="3"/>
  <c r="K85" i="3"/>
  <c r="K87" i="3"/>
  <c r="K86" i="3"/>
  <c r="K88" i="3"/>
  <c r="K90" i="3"/>
  <c r="K89" i="3"/>
  <c r="K91" i="3"/>
  <c r="K94" i="3"/>
  <c r="K92" i="3"/>
  <c r="K93" i="3"/>
  <c r="K95" i="3"/>
  <c r="K97" i="3"/>
  <c r="G102" i="3"/>
  <c r="I102" i="3" s="1"/>
  <c r="G2" i="3"/>
  <c r="I2" i="3" s="1"/>
  <c r="G3" i="3"/>
  <c r="I3" i="3" s="1"/>
  <c r="G6" i="3"/>
  <c r="I6" i="3" s="1"/>
  <c r="G5" i="3"/>
  <c r="I5" i="3" s="1"/>
  <c r="G4" i="3"/>
  <c r="I4" i="3" s="1"/>
  <c r="G8" i="3"/>
  <c r="I8" i="3" s="1"/>
  <c r="G7" i="3"/>
  <c r="I7" i="3" s="1"/>
  <c r="G10" i="3"/>
  <c r="I10" i="3" s="1"/>
  <c r="G12" i="3"/>
  <c r="I12" i="3" s="1"/>
  <c r="G9" i="3"/>
  <c r="I9" i="3" s="1"/>
  <c r="G14" i="3"/>
  <c r="I14" i="3" s="1"/>
  <c r="G11" i="3"/>
  <c r="I11" i="3" s="1"/>
  <c r="G16" i="3"/>
  <c r="I16" i="3" s="1"/>
  <c r="G13" i="3"/>
  <c r="I13" i="3" s="1"/>
  <c r="G15" i="3"/>
  <c r="I15" i="3" s="1"/>
  <c r="G18" i="3"/>
  <c r="I18" i="3" s="1"/>
  <c r="G17" i="3"/>
  <c r="I17" i="3" s="1"/>
  <c r="G20" i="3"/>
  <c r="I20" i="3" s="1"/>
  <c r="G22" i="3"/>
  <c r="I22" i="3" s="1"/>
  <c r="G19" i="3"/>
  <c r="I19" i="3" s="1"/>
  <c r="G21" i="3"/>
  <c r="I21" i="3" s="1"/>
  <c r="G23" i="3"/>
  <c r="I23" i="3" s="1"/>
  <c r="G25" i="3"/>
  <c r="I25" i="3" s="1"/>
  <c r="G27" i="3"/>
  <c r="I27" i="3" s="1"/>
  <c r="G24" i="3"/>
  <c r="I24" i="3" s="1"/>
  <c r="G26" i="3"/>
  <c r="I26" i="3" s="1"/>
  <c r="G29" i="3"/>
  <c r="I29" i="3" s="1"/>
  <c r="G28" i="3"/>
  <c r="I28" i="3" s="1"/>
  <c r="G31" i="3"/>
  <c r="I31" i="3" s="1"/>
  <c r="G33" i="3"/>
  <c r="I33" i="3" s="1"/>
  <c r="G30" i="3"/>
  <c r="I30" i="3" s="1"/>
  <c r="G34" i="3"/>
  <c r="I34" i="3" s="1"/>
  <c r="G35" i="3"/>
  <c r="I35" i="3" s="1"/>
  <c r="G32" i="3"/>
  <c r="I32" i="3" s="1"/>
  <c r="G37" i="3"/>
  <c r="I37" i="3" s="1"/>
  <c r="G39" i="3"/>
  <c r="I39" i="3" s="1"/>
  <c r="G36" i="3"/>
  <c r="I36" i="3" s="1"/>
  <c r="G38" i="3"/>
  <c r="I38" i="3" s="1"/>
  <c r="G42" i="3"/>
  <c r="I42" i="3" s="1"/>
  <c r="G41" i="3"/>
  <c r="I41" i="3" s="1"/>
  <c r="G43" i="3"/>
  <c r="I43" i="3" s="1"/>
  <c r="G40" i="3"/>
  <c r="I40" i="3" s="1"/>
  <c r="G45" i="3"/>
  <c r="I45" i="3" s="1"/>
  <c r="G46" i="3"/>
  <c r="I46" i="3" s="1"/>
  <c r="G47" i="3"/>
  <c r="I47" i="3" s="1"/>
  <c r="G44" i="3"/>
  <c r="I44" i="3" s="1"/>
  <c r="G49" i="3"/>
  <c r="I49" i="3" s="1"/>
  <c r="G48" i="3"/>
  <c r="I48" i="3" s="1"/>
  <c r="G51" i="3"/>
  <c r="I51" i="3" s="1"/>
  <c r="G50" i="3"/>
  <c r="I50" i="3" s="1"/>
  <c r="G53" i="3"/>
  <c r="I53" i="3" s="1"/>
  <c r="G55" i="3"/>
  <c r="I55" i="3" s="1"/>
  <c r="G52" i="3"/>
  <c r="I52" i="3" s="1"/>
  <c r="G56" i="3"/>
  <c r="I56" i="3" s="1"/>
  <c r="G54" i="3"/>
  <c r="I54" i="3" s="1"/>
  <c r="G57" i="3"/>
  <c r="I57" i="3" s="1"/>
  <c r="G61" i="3"/>
  <c r="I61" i="3" s="1"/>
  <c r="G59" i="3"/>
  <c r="I59" i="3" s="1"/>
  <c r="G58" i="3"/>
  <c r="I58" i="3" s="1"/>
  <c r="G60" i="3"/>
  <c r="I60" i="3" s="1"/>
  <c r="G62" i="3"/>
  <c r="I62" i="3" s="1"/>
  <c r="G63" i="3"/>
  <c r="I63" i="3" s="1"/>
  <c r="G65" i="3"/>
  <c r="I65" i="3" s="1"/>
  <c r="G67" i="3"/>
  <c r="I67" i="3" s="1"/>
  <c r="G64" i="3"/>
  <c r="I64" i="3" s="1"/>
  <c r="G68" i="3"/>
  <c r="I68" i="3" s="1"/>
  <c r="G66" i="3"/>
  <c r="I66" i="3" s="1"/>
  <c r="G70" i="3"/>
  <c r="I70" i="3" s="1"/>
  <c r="G69" i="3"/>
  <c r="I69" i="3" s="1"/>
  <c r="G72" i="3"/>
  <c r="I72" i="3" s="1"/>
  <c r="G74" i="3"/>
  <c r="I74" i="3" s="1"/>
  <c r="G71" i="3"/>
  <c r="I71" i="3" s="1"/>
  <c r="G73" i="3"/>
  <c r="I73" i="3" s="1"/>
  <c r="G75" i="3"/>
  <c r="I75" i="3" s="1"/>
  <c r="G76" i="3"/>
  <c r="I76" i="3" s="1"/>
  <c r="G78" i="3"/>
  <c r="I78" i="3" s="1"/>
  <c r="G80" i="3"/>
  <c r="I80" i="3" s="1"/>
  <c r="G77" i="3"/>
  <c r="I77" i="3" s="1"/>
  <c r="G82" i="3"/>
  <c r="I82" i="3" s="1"/>
  <c r="G79" i="3"/>
  <c r="I79" i="3" s="1"/>
  <c r="G81" i="3"/>
  <c r="I81" i="3" s="1"/>
  <c r="G83" i="3"/>
  <c r="I83" i="3" s="1"/>
  <c r="G84" i="3"/>
  <c r="I84" i="3" s="1"/>
  <c r="G85" i="3"/>
  <c r="I85" i="3" s="1"/>
  <c r="G87" i="3"/>
  <c r="I87" i="3" s="1"/>
  <c r="G86" i="3"/>
  <c r="I86" i="3" s="1"/>
  <c r="G89" i="3"/>
  <c r="I89" i="3" s="1"/>
  <c r="G88" i="3"/>
  <c r="I88" i="3" s="1"/>
  <c r="G90" i="3"/>
  <c r="I90" i="3" s="1"/>
  <c r="G91" i="3"/>
  <c r="I91" i="3" s="1"/>
  <c r="G93" i="3"/>
  <c r="I93" i="3" s="1"/>
  <c r="G92" i="3"/>
  <c r="I92" i="3" s="1"/>
  <c r="G95" i="3"/>
  <c r="I95" i="3" s="1"/>
  <c r="G99" i="3"/>
  <c r="I99" i="3" s="1"/>
  <c r="G96" i="3"/>
  <c r="I96" i="3" s="1"/>
  <c r="G98" i="3"/>
  <c r="I98" i="3" s="1"/>
  <c r="G94" i="3"/>
  <c r="I94" i="3" s="1"/>
  <c r="K100" i="3"/>
  <c r="G101" i="3"/>
  <c r="I101" i="3" s="1"/>
  <c r="K99" i="3"/>
  <c r="H102" i="3"/>
  <c r="M102" i="3"/>
  <c r="G97" i="3"/>
  <c r="I97" i="3" s="1"/>
  <c r="G100" i="3"/>
  <c r="I100" i="3" s="1"/>
  <c r="K96" i="3"/>
  <c r="K98" i="3"/>
  <c r="K101" i="3"/>
  <c r="H102" i="2"/>
  <c r="M102" i="2"/>
  <c r="N101" i="2" s="1"/>
  <c r="N98" i="2"/>
  <c r="N93" i="2"/>
  <c r="G92" i="2"/>
  <c r="I92" i="2" s="1"/>
  <c r="G97" i="2"/>
  <c r="I97" i="2" s="1"/>
  <c r="G95" i="2"/>
  <c r="I95" i="2" s="1"/>
  <c r="G98" i="2"/>
  <c r="I98" i="2" s="1"/>
  <c r="L101" i="2"/>
  <c r="K102" i="2"/>
  <c r="L102" i="2" s="1"/>
  <c r="K4" i="2"/>
  <c r="K3" i="2"/>
  <c r="K2" i="2"/>
  <c r="K5" i="2"/>
  <c r="K6" i="2"/>
  <c r="K8" i="2"/>
  <c r="K7" i="2"/>
  <c r="K9" i="2"/>
  <c r="K10" i="2"/>
  <c r="K12" i="2"/>
  <c r="K11" i="2"/>
  <c r="K13" i="2"/>
  <c r="K14" i="2"/>
  <c r="K17" i="2"/>
  <c r="K15" i="2"/>
  <c r="K16" i="2"/>
  <c r="K18" i="2"/>
  <c r="K19" i="2"/>
  <c r="K20" i="2"/>
  <c r="K22" i="2"/>
  <c r="K21" i="2"/>
  <c r="K23" i="2"/>
  <c r="K24" i="2"/>
  <c r="K25" i="2"/>
  <c r="K26" i="2"/>
  <c r="K27" i="2"/>
  <c r="K28" i="2"/>
  <c r="K29" i="2"/>
  <c r="K30" i="2"/>
  <c r="K31" i="2"/>
  <c r="K33" i="2"/>
  <c r="K32" i="2"/>
  <c r="K37" i="2"/>
  <c r="K36" i="2"/>
  <c r="K35" i="2"/>
  <c r="K38" i="2"/>
  <c r="K34" i="2"/>
  <c r="K39" i="2"/>
  <c r="K41" i="2"/>
  <c r="K43" i="2"/>
  <c r="K42" i="2"/>
  <c r="K40" i="2"/>
  <c r="K44" i="2"/>
  <c r="K45" i="2"/>
  <c r="K46" i="2"/>
  <c r="K48" i="2"/>
  <c r="K47" i="2"/>
  <c r="K50" i="2"/>
  <c r="K49" i="2"/>
  <c r="K52" i="2"/>
  <c r="K51" i="2"/>
  <c r="K53" i="2"/>
  <c r="K54" i="2"/>
  <c r="K55" i="2"/>
  <c r="K57" i="2"/>
  <c r="K56" i="2"/>
  <c r="K58" i="2"/>
  <c r="K59" i="2"/>
  <c r="K60" i="2"/>
  <c r="K61" i="2"/>
  <c r="K62" i="2"/>
  <c r="K63" i="2"/>
  <c r="K64" i="2"/>
  <c r="K65" i="2"/>
  <c r="K67" i="2"/>
  <c r="K66" i="2"/>
  <c r="K68" i="2"/>
  <c r="K70" i="2"/>
  <c r="K69" i="2"/>
  <c r="K71" i="2"/>
  <c r="K72" i="2"/>
  <c r="K73" i="2"/>
  <c r="K74" i="2"/>
  <c r="K75" i="2"/>
  <c r="K76" i="2"/>
  <c r="K77" i="2"/>
  <c r="K79" i="2"/>
  <c r="K78" i="2"/>
  <c r="K80" i="2"/>
  <c r="K82" i="2"/>
  <c r="K81" i="2"/>
  <c r="K84" i="2"/>
  <c r="K83" i="2"/>
  <c r="K85" i="2"/>
  <c r="K86" i="2"/>
  <c r="K88" i="2"/>
  <c r="K90" i="2"/>
  <c r="K87" i="2"/>
  <c r="K93" i="2"/>
  <c r="K91" i="2"/>
  <c r="K89" i="2"/>
  <c r="K92" i="2"/>
  <c r="K95" i="2"/>
  <c r="K99" i="2"/>
  <c r="L99" i="2" s="1"/>
  <c r="K98" i="2"/>
  <c r="L98" i="2" s="1"/>
  <c r="K96" i="2"/>
  <c r="K94" i="2"/>
  <c r="L94" i="2" s="1"/>
  <c r="G102" i="2"/>
  <c r="I102" i="2" s="1"/>
  <c r="G2" i="2"/>
  <c r="I2" i="2" s="1"/>
  <c r="G3" i="2"/>
  <c r="I3" i="2" s="1"/>
  <c r="G4" i="2"/>
  <c r="I4" i="2" s="1"/>
  <c r="G5" i="2"/>
  <c r="I5" i="2" s="1"/>
  <c r="G7" i="2"/>
  <c r="I7" i="2" s="1"/>
  <c r="G9" i="2"/>
  <c r="I9" i="2" s="1"/>
  <c r="G8" i="2"/>
  <c r="I8" i="2" s="1"/>
  <c r="G6" i="2"/>
  <c r="I6" i="2" s="1"/>
  <c r="G11" i="2"/>
  <c r="I11" i="2" s="1"/>
  <c r="G12" i="2"/>
  <c r="I12" i="2" s="1"/>
  <c r="G10" i="2"/>
  <c r="I10" i="2" s="1"/>
  <c r="G14" i="2"/>
  <c r="I14" i="2" s="1"/>
  <c r="G13" i="2"/>
  <c r="I13" i="2" s="1"/>
  <c r="G18" i="2"/>
  <c r="I18" i="2" s="1"/>
  <c r="G16" i="2"/>
  <c r="I16" i="2" s="1"/>
  <c r="G15" i="2"/>
  <c r="I15" i="2" s="1"/>
  <c r="G19" i="2"/>
  <c r="I19" i="2" s="1"/>
  <c r="G17" i="2"/>
  <c r="I17" i="2" s="1"/>
  <c r="G20" i="2"/>
  <c r="I20" i="2" s="1"/>
  <c r="G21" i="2"/>
  <c r="I21" i="2" s="1"/>
  <c r="G24" i="2"/>
  <c r="I24" i="2" s="1"/>
  <c r="G22" i="2"/>
  <c r="I22" i="2" s="1"/>
  <c r="G23" i="2"/>
  <c r="I23" i="2" s="1"/>
  <c r="G26" i="2"/>
  <c r="I26" i="2" s="1"/>
  <c r="G25" i="2"/>
  <c r="I25" i="2" s="1"/>
  <c r="G28" i="2"/>
  <c r="I28" i="2" s="1"/>
  <c r="G29" i="2"/>
  <c r="I29" i="2" s="1"/>
  <c r="G27" i="2"/>
  <c r="I27" i="2" s="1"/>
  <c r="G30" i="2"/>
  <c r="I30" i="2" s="1"/>
  <c r="G31" i="2"/>
  <c r="I31" i="2" s="1"/>
  <c r="G33" i="2"/>
  <c r="I33" i="2" s="1"/>
  <c r="G34" i="2"/>
  <c r="I34" i="2" s="1"/>
  <c r="G35" i="2"/>
  <c r="I35" i="2" s="1"/>
  <c r="G32" i="2"/>
  <c r="I32" i="2" s="1"/>
  <c r="G37" i="2"/>
  <c r="I37" i="2" s="1"/>
  <c r="G36" i="2"/>
  <c r="I36" i="2" s="1"/>
  <c r="G39" i="2"/>
  <c r="I39" i="2" s="1"/>
  <c r="G38" i="2"/>
  <c r="I38" i="2" s="1"/>
  <c r="G41" i="2"/>
  <c r="I41" i="2" s="1"/>
  <c r="G40" i="2"/>
  <c r="I40" i="2" s="1"/>
  <c r="G43" i="2"/>
  <c r="I43" i="2" s="1"/>
  <c r="G42" i="2"/>
  <c r="I42" i="2" s="1"/>
  <c r="G45" i="2"/>
  <c r="I45" i="2" s="1"/>
  <c r="G44" i="2"/>
  <c r="I44" i="2" s="1"/>
  <c r="G46" i="2"/>
  <c r="I46" i="2" s="1"/>
  <c r="G47" i="2"/>
  <c r="I47" i="2" s="1"/>
  <c r="G50" i="2"/>
  <c r="I50" i="2" s="1"/>
  <c r="G48" i="2"/>
  <c r="I48" i="2" s="1"/>
  <c r="G52" i="2"/>
  <c r="I52" i="2" s="1"/>
  <c r="G49" i="2"/>
  <c r="I49" i="2" s="1"/>
  <c r="G51" i="2"/>
  <c r="I51" i="2" s="1"/>
  <c r="G54" i="2"/>
  <c r="I54" i="2" s="1"/>
  <c r="G53" i="2"/>
  <c r="I53" i="2" s="1"/>
  <c r="G56" i="2"/>
  <c r="I56" i="2" s="1"/>
  <c r="G58" i="2"/>
  <c r="I58" i="2" s="1"/>
  <c r="G55" i="2"/>
  <c r="I55" i="2" s="1"/>
  <c r="G57" i="2"/>
  <c r="I57" i="2" s="1"/>
  <c r="G62" i="2"/>
  <c r="I62" i="2" s="1"/>
  <c r="G60" i="2"/>
  <c r="I60" i="2" s="1"/>
  <c r="G59" i="2"/>
  <c r="I59" i="2" s="1"/>
  <c r="G64" i="2"/>
  <c r="I64" i="2" s="1"/>
  <c r="G61" i="2"/>
  <c r="I61" i="2" s="1"/>
  <c r="G66" i="2"/>
  <c r="I66" i="2" s="1"/>
  <c r="G63" i="2"/>
  <c r="I63" i="2" s="1"/>
  <c r="G68" i="2"/>
  <c r="I68" i="2" s="1"/>
  <c r="G65" i="2"/>
  <c r="I65" i="2" s="1"/>
  <c r="G70" i="2"/>
  <c r="I70" i="2" s="1"/>
  <c r="G67" i="2"/>
  <c r="I67" i="2" s="1"/>
  <c r="G72" i="2"/>
  <c r="I72" i="2" s="1"/>
  <c r="G69" i="2"/>
  <c r="I69" i="2" s="1"/>
  <c r="G71" i="2"/>
  <c r="I71" i="2" s="1"/>
  <c r="G74" i="2"/>
  <c r="I74" i="2" s="1"/>
  <c r="G73" i="2"/>
  <c r="I73" i="2" s="1"/>
  <c r="G76" i="2"/>
  <c r="I76" i="2" s="1"/>
  <c r="G75" i="2"/>
  <c r="I75" i="2" s="1"/>
  <c r="G78" i="2"/>
  <c r="I78" i="2" s="1"/>
  <c r="G80" i="2"/>
  <c r="I80" i="2" s="1"/>
  <c r="G77" i="2"/>
  <c r="I77" i="2" s="1"/>
  <c r="G82" i="2"/>
  <c r="I82" i="2" s="1"/>
  <c r="G79" i="2"/>
  <c r="I79" i="2" s="1"/>
  <c r="G81" i="2"/>
  <c r="I81" i="2" s="1"/>
  <c r="G84" i="2"/>
  <c r="I84" i="2" s="1"/>
  <c r="G86" i="2"/>
  <c r="I86" i="2" s="1"/>
  <c r="G83" i="2"/>
  <c r="I83" i="2" s="1"/>
  <c r="G85" i="2"/>
  <c r="I85" i="2" s="1"/>
  <c r="G88" i="2"/>
  <c r="I88" i="2" s="1"/>
  <c r="G87" i="2"/>
  <c r="I87" i="2" s="1"/>
  <c r="G89" i="2"/>
  <c r="I89" i="2" s="1"/>
  <c r="G91" i="2"/>
  <c r="I91" i="2" s="1"/>
  <c r="G90" i="2"/>
  <c r="I90" i="2" s="1"/>
  <c r="G93" i="2"/>
  <c r="I93" i="2" s="1"/>
  <c r="H101" i="2"/>
  <c r="G94" i="2"/>
  <c r="I94" i="2" s="1"/>
  <c r="G99" i="2"/>
  <c r="I99" i="2" s="1"/>
  <c r="G96" i="2"/>
  <c r="I96" i="2" s="1"/>
  <c r="G100" i="2"/>
  <c r="I100" i="2" s="1"/>
  <c r="N95" i="2" l="1"/>
  <c r="N97" i="2"/>
  <c r="L101" i="3"/>
  <c r="L96" i="3"/>
  <c r="N102" i="3"/>
  <c r="O102" i="3" s="1"/>
  <c r="N2" i="3"/>
  <c r="N3" i="3"/>
  <c r="N6" i="3"/>
  <c r="N5" i="3"/>
  <c r="N4" i="3"/>
  <c r="N7" i="3"/>
  <c r="N8" i="3"/>
  <c r="N12" i="3"/>
  <c r="N10" i="3"/>
  <c r="N9" i="3"/>
  <c r="N11" i="3"/>
  <c r="N13" i="3"/>
  <c r="N14" i="3"/>
  <c r="N15" i="3"/>
  <c r="N16" i="3"/>
  <c r="N17" i="3"/>
  <c r="N18" i="3"/>
  <c r="N20" i="3"/>
  <c r="N19" i="3"/>
  <c r="N22" i="3"/>
  <c r="N21" i="3"/>
  <c r="N23" i="3"/>
  <c r="N24" i="3"/>
  <c r="N25" i="3"/>
  <c r="N26" i="3"/>
  <c r="N28" i="3"/>
  <c r="N27" i="3"/>
  <c r="N31" i="3"/>
  <c r="N29" i="3"/>
  <c r="N30" i="3"/>
  <c r="N32" i="3"/>
  <c r="N33" i="3"/>
  <c r="N34" i="3"/>
  <c r="N35" i="3"/>
  <c r="N39" i="3"/>
  <c r="N36" i="3"/>
  <c r="N37" i="3"/>
  <c r="N38" i="3"/>
  <c r="N40" i="3"/>
  <c r="N41" i="3"/>
  <c r="N42" i="3"/>
  <c r="N43" i="3"/>
  <c r="N44" i="3"/>
  <c r="N45" i="3"/>
  <c r="N47" i="3"/>
  <c r="N49" i="3"/>
  <c r="N46" i="3"/>
  <c r="N48" i="3"/>
  <c r="N50" i="3"/>
  <c r="N51" i="3"/>
  <c r="N53" i="3"/>
  <c r="N52" i="3"/>
  <c r="N54" i="3"/>
  <c r="N55" i="3"/>
  <c r="N58" i="3"/>
  <c r="N59" i="3"/>
  <c r="N57" i="3"/>
  <c r="N56" i="3"/>
  <c r="N60" i="3"/>
  <c r="N61" i="3"/>
  <c r="N63" i="3"/>
  <c r="N62" i="3"/>
  <c r="N64" i="3"/>
  <c r="N65" i="3"/>
  <c r="N67" i="3"/>
  <c r="N66" i="3"/>
  <c r="N68" i="3"/>
  <c r="N70" i="3"/>
  <c r="N72" i="3"/>
  <c r="N73" i="3"/>
  <c r="N69" i="3"/>
  <c r="N71" i="3"/>
  <c r="N74" i="3"/>
  <c r="N75" i="3"/>
  <c r="N76" i="3"/>
  <c r="N78" i="3"/>
  <c r="N77" i="3"/>
  <c r="N80" i="3"/>
  <c r="N79" i="3"/>
  <c r="N82" i="3"/>
  <c r="N83" i="3"/>
  <c r="N81" i="3"/>
  <c r="N84" i="3"/>
  <c r="N85" i="3"/>
  <c r="N88" i="3"/>
  <c r="N86" i="3"/>
  <c r="N87" i="3"/>
  <c r="N89" i="3"/>
  <c r="N90" i="3"/>
  <c r="N91" i="3"/>
  <c r="L99" i="3"/>
  <c r="N99" i="3"/>
  <c r="N94" i="3"/>
  <c r="N96" i="3"/>
  <c r="N97" i="3"/>
  <c r="N100" i="3"/>
  <c r="L97" i="3"/>
  <c r="L93" i="3"/>
  <c r="L94" i="3"/>
  <c r="L89" i="3"/>
  <c r="L88" i="3"/>
  <c r="L87" i="3"/>
  <c r="L84" i="3"/>
  <c r="L83" i="3"/>
  <c r="L80" i="3"/>
  <c r="L78" i="3"/>
  <c r="L77" i="3"/>
  <c r="L73" i="3"/>
  <c r="L74" i="3"/>
  <c r="L70" i="3"/>
  <c r="L68" i="3"/>
  <c r="L64" i="3"/>
  <c r="L66" i="3"/>
  <c r="L61" i="3"/>
  <c r="L59" i="3"/>
  <c r="L58" i="3"/>
  <c r="L56" i="3"/>
  <c r="L55" i="3"/>
  <c r="L50" i="3"/>
  <c r="L52" i="3"/>
  <c r="L48" i="3"/>
  <c r="L47" i="3"/>
  <c r="L43" i="3"/>
  <c r="L42" i="3"/>
  <c r="L41" i="3"/>
  <c r="L39" i="3"/>
  <c r="L34" i="3"/>
  <c r="L33" i="3"/>
  <c r="L32" i="3"/>
  <c r="L29" i="3"/>
  <c r="L28" i="3"/>
  <c r="L26" i="3"/>
  <c r="L23" i="3"/>
  <c r="L22" i="3"/>
  <c r="L20" i="3"/>
  <c r="L18" i="3"/>
  <c r="L16" i="3"/>
  <c r="L13" i="3"/>
  <c r="L12" i="3"/>
  <c r="L11" i="3"/>
  <c r="L9" i="3"/>
  <c r="L5" i="3"/>
  <c r="L4" i="3"/>
  <c r="L3" i="3"/>
  <c r="L98" i="3"/>
  <c r="N101" i="3"/>
  <c r="O101" i="3" s="1"/>
  <c r="N95" i="3"/>
  <c r="N92" i="3"/>
  <c r="N98" i="3"/>
  <c r="N93" i="3"/>
  <c r="L100" i="3"/>
  <c r="L95" i="3"/>
  <c r="L92" i="3"/>
  <c r="L91" i="3"/>
  <c r="L90" i="3"/>
  <c r="L86" i="3"/>
  <c r="L85" i="3"/>
  <c r="L82" i="3"/>
  <c r="L81" i="3"/>
  <c r="L79" i="3"/>
  <c r="L76" i="3"/>
  <c r="L75" i="3"/>
  <c r="L72" i="3"/>
  <c r="L71" i="3"/>
  <c r="L69" i="3"/>
  <c r="L67" i="3"/>
  <c r="L65" i="3"/>
  <c r="L62" i="3"/>
  <c r="L63" i="3"/>
  <c r="L60" i="3"/>
  <c r="L57" i="3"/>
  <c r="L54" i="3"/>
  <c r="L53" i="3"/>
  <c r="L51" i="3"/>
  <c r="L49" i="3"/>
  <c r="L46" i="3"/>
  <c r="L45" i="3"/>
  <c r="L44" i="3"/>
  <c r="L40" i="3"/>
  <c r="L38" i="3"/>
  <c r="L37" i="3"/>
  <c r="L36" i="3"/>
  <c r="L35" i="3"/>
  <c r="L31" i="3"/>
  <c r="L30" i="3"/>
  <c r="L27" i="3"/>
  <c r="L25" i="3"/>
  <c r="L24" i="3"/>
  <c r="L21" i="3"/>
  <c r="L19" i="3"/>
  <c r="L14" i="3"/>
  <c r="L17" i="3"/>
  <c r="L15" i="3"/>
  <c r="L10" i="3"/>
  <c r="L8" i="3"/>
  <c r="L6" i="3"/>
  <c r="L7" i="3"/>
  <c r="L2" i="3"/>
  <c r="L95" i="2"/>
  <c r="L89" i="2"/>
  <c r="L93" i="2"/>
  <c r="L90" i="2"/>
  <c r="L86" i="2"/>
  <c r="L83" i="2"/>
  <c r="L81" i="2"/>
  <c r="L80" i="2"/>
  <c r="L79" i="2"/>
  <c r="L76" i="2"/>
  <c r="L74" i="2"/>
  <c r="L72" i="2"/>
  <c r="L69" i="2"/>
  <c r="L68" i="2"/>
  <c r="L67" i="2"/>
  <c r="L64" i="2"/>
  <c r="L62" i="2"/>
  <c r="L60" i="2"/>
  <c r="L58" i="2"/>
  <c r="L57" i="2"/>
  <c r="L54" i="2"/>
  <c r="L51" i="2"/>
  <c r="L49" i="2"/>
  <c r="L47" i="2"/>
  <c r="L46" i="2"/>
  <c r="L44" i="2"/>
  <c r="L42" i="2"/>
  <c r="L41" i="2"/>
  <c r="L34" i="2"/>
  <c r="L35" i="2"/>
  <c r="L37" i="2"/>
  <c r="L33" i="2"/>
  <c r="L30" i="2"/>
  <c r="L28" i="2"/>
  <c r="L26" i="2"/>
  <c r="L24" i="2"/>
  <c r="L21" i="2"/>
  <c r="L20" i="2"/>
  <c r="L18" i="2"/>
  <c r="L15" i="2"/>
  <c r="L14" i="2"/>
  <c r="L11" i="2"/>
  <c r="L10" i="2"/>
  <c r="L7" i="2"/>
  <c r="L6" i="2"/>
  <c r="L2" i="2"/>
  <c r="L4" i="2"/>
  <c r="L97" i="2"/>
  <c r="L96" i="2"/>
  <c r="L92" i="2"/>
  <c r="L91" i="2"/>
  <c r="L87" i="2"/>
  <c r="L88" i="2"/>
  <c r="L85" i="2"/>
  <c r="L84" i="2"/>
  <c r="L82" i="2"/>
  <c r="L78" i="2"/>
  <c r="L77" i="2"/>
  <c r="L75" i="2"/>
  <c r="L73" i="2"/>
  <c r="L71" i="2"/>
  <c r="L70" i="2"/>
  <c r="L66" i="2"/>
  <c r="L65" i="2"/>
  <c r="L63" i="2"/>
  <c r="L61" i="2"/>
  <c r="L59" i="2"/>
  <c r="L56" i="2"/>
  <c r="L55" i="2"/>
  <c r="L53" i="2"/>
  <c r="L52" i="2"/>
  <c r="L50" i="2"/>
  <c r="L48" i="2"/>
  <c r="L45" i="2"/>
  <c r="L40" i="2"/>
  <c r="L43" i="2"/>
  <c r="L39" i="2"/>
  <c r="L38" i="2"/>
  <c r="L36" i="2"/>
  <c r="P32" i="2"/>
  <c r="L32" i="2"/>
  <c r="L31" i="2"/>
  <c r="L29" i="2"/>
  <c r="L27" i="2"/>
  <c r="L25" i="2"/>
  <c r="L23" i="2"/>
  <c r="L22" i="2"/>
  <c r="L19" i="2"/>
  <c r="L16" i="2"/>
  <c r="L17" i="2"/>
  <c r="L13" i="2"/>
  <c r="L12" i="2"/>
  <c r="L9" i="2"/>
  <c r="L8" i="2"/>
  <c r="L5" i="2"/>
  <c r="L3" i="2"/>
  <c r="N102" i="2"/>
  <c r="O102" i="2" s="1"/>
  <c r="N2" i="2"/>
  <c r="N3" i="2"/>
  <c r="N5" i="2"/>
  <c r="N4" i="2"/>
  <c r="N6" i="2"/>
  <c r="N8" i="2"/>
  <c r="N7" i="2"/>
  <c r="N11" i="2"/>
  <c r="N10" i="2"/>
  <c r="N9" i="2"/>
  <c r="N13" i="2"/>
  <c r="N14" i="2"/>
  <c r="N12" i="2"/>
  <c r="N15" i="2"/>
  <c r="N17" i="2"/>
  <c r="N16" i="2"/>
  <c r="N18" i="2"/>
  <c r="N19" i="2"/>
  <c r="N22" i="2"/>
  <c r="N20" i="2"/>
  <c r="N21" i="2"/>
  <c r="N25" i="2"/>
  <c r="N23" i="2"/>
  <c r="N24" i="2"/>
  <c r="N26" i="2"/>
  <c r="N28" i="2"/>
  <c r="N31" i="2"/>
  <c r="N27" i="2"/>
  <c r="N29" i="2"/>
  <c r="N30" i="2"/>
  <c r="N32" i="2"/>
  <c r="N34" i="2"/>
  <c r="N33" i="2"/>
  <c r="N37" i="2"/>
  <c r="N35" i="2"/>
  <c r="N38" i="2"/>
  <c r="N40" i="2"/>
  <c r="N36" i="2"/>
  <c r="N42" i="2"/>
  <c r="N39" i="2"/>
  <c r="N41" i="2"/>
  <c r="N45" i="2"/>
  <c r="N43" i="2"/>
  <c r="N46" i="2"/>
  <c r="N44" i="2"/>
  <c r="N48" i="2"/>
  <c r="N47" i="2"/>
  <c r="N50" i="2"/>
  <c r="N52" i="2"/>
  <c r="N49" i="2"/>
  <c r="N53" i="2"/>
  <c r="N51" i="2"/>
  <c r="N56" i="2"/>
  <c r="N54" i="2"/>
  <c r="N58" i="2"/>
  <c r="N55" i="2"/>
  <c r="N60" i="2"/>
  <c r="N57" i="2"/>
  <c r="N59" i="2"/>
  <c r="N63" i="2"/>
  <c r="N62" i="2"/>
  <c r="N61" i="2"/>
  <c r="N65" i="2"/>
  <c r="N64" i="2"/>
  <c r="N70" i="2"/>
  <c r="N66" i="2"/>
  <c r="N68" i="2"/>
  <c r="N71" i="2"/>
  <c r="N69" i="2"/>
  <c r="N67" i="2"/>
  <c r="N73" i="2"/>
  <c r="N72" i="2"/>
  <c r="N76" i="2"/>
  <c r="N74" i="2"/>
  <c r="N78" i="2"/>
  <c r="N75" i="2"/>
  <c r="N80" i="2"/>
  <c r="N77" i="2"/>
  <c r="N82" i="2"/>
  <c r="N79" i="2"/>
  <c r="N84" i="2"/>
  <c r="N83" i="2"/>
  <c r="N86" i="2"/>
  <c r="N81" i="2"/>
  <c r="N89" i="2"/>
  <c r="N85" i="2"/>
  <c r="N88" i="2"/>
  <c r="N91" i="2"/>
  <c r="N87" i="2"/>
  <c r="N92" i="2"/>
  <c r="N94" i="2"/>
  <c r="N90" i="2"/>
  <c r="N100" i="2"/>
  <c r="N96" i="2"/>
  <c r="N99" i="2"/>
  <c r="L100" i="2"/>
  <c r="O3" i="2" l="1"/>
  <c r="O99" i="2"/>
  <c r="O100" i="2"/>
  <c r="O93" i="2"/>
  <c r="O93" i="3"/>
  <c r="O92" i="3"/>
  <c r="O100" i="3"/>
  <c r="O96" i="3"/>
  <c r="O99" i="3"/>
  <c r="O91" i="3"/>
  <c r="O89" i="3"/>
  <c r="O86" i="3"/>
  <c r="O85" i="3"/>
  <c r="O81" i="3"/>
  <c r="O82" i="3"/>
  <c r="O80" i="3"/>
  <c r="O78" i="3"/>
  <c r="O75" i="3"/>
  <c r="O71" i="3"/>
  <c r="O73" i="3"/>
  <c r="O70" i="3"/>
  <c r="O66" i="3"/>
  <c r="O65" i="3"/>
  <c r="O62" i="3"/>
  <c r="O61" i="3"/>
  <c r="O56" i="3"/>
  <c r="O59" i="3"/>
  <c r="O55" i="3"/>
  <c r="O52" i="3"/>
  <c r="O51" i="3"/>
  <c r="O48" i="3"/>
  <c r="O49" i="3"/>
  <c r="O45" i="3"/>
  <c r="O43" i="3"/>
  <c r="O41" i="3"/>
  <c r="O38" i="3"/>
  <c r="O36" i="3"/>
  <c r="O35" i="3"/>
  <c r="O33" i="3"/>
  <c r="O30" i="3"/>
  <c r="O31" i="3"/>
  <c r="O28" i="3"/>
  <c r="O25" i="3"/>
  <c r="O23" i="3"/>
  <c r="O22" i="3"/>
  <c r="O20" i="3"/>
  <c r="O17" i="3"/>
  <c r="O15" i="3"/>
  <c r="O13" i="3"/>
  <c r="O9" i="3"/>
  <c r="O12" i="3"/>
  <c r="O7" i="3"/>
  <c r="O5" i="3"/>
  <c r="O3" i="3"/>
  <c r="O98" i="3"/>
  <c r="O95" i="3"/>
  <c r="O97" i="3"/>
  <c r="O94" i="3"/>
  <c r="O90" i="3"/>
  <c r="O87" i="3"/>
  <c r="O88" i="3"/>
  <c r="O84" i="3"/>
  <c r="O83" i="3"/>
  <c r="O79" i="3"/>
  <c r="O77" i="3"/>
  <c r="O76" i="3"/>
  <c r="O74" i="3"/>
  <c r="O69" i="3"/>
  <c r="O72" i="3"/>
  <c r="O68" i="3"/>
  <c r="O67" i="3"/>
  <c r="O64" i="3"/>
  <c r="O63" i="3"/>
  <c r="O60" i="3"/>
  <c r="O57" i="3"/>
  <c r="O58" i="3"/>
  <c r="O54" i="3"/>
  <c r="O53" i="3"/>
  <c r="O50" i="3"/>
  <c r="O46" i="3"/>
  <c r="O47" i="3"/>
  <c r="O44" i="3"/>
  <c r="O42" i="3"/>
  <c r="O40" i="3"/>
  <c r="O37" i="3"/>
  <c r="O39" i="3"/>
  <c r="O34" i="3"/>
  <c r="O32" i="3"/>
  <c r="O29" i="3"/>
  <c r="O27" i="3"/>
  <c r="O26" i="3"/>
  <c r="O24" i="3"/>
  <c r="O21" i="3"/>
  <c r="O19" i="3"/>
  <c r="O18" i="3"/>
  <c r="O16" i="3"/>
  <c r="O14" i="3"/>
  <c r="O11" i="3"/>
  <c r="O10" i="3"/>
  <c r="O8" i="3"/>
  <c r="O4" i="3"/>
  <c r="O6" i="3"/>
  <c r="O2" i="3"/>
  <c r="O96" i="2"/>
  <c r="O90" i="2"/>
  <c r="O92" i="2"/>
  <c r="O91" i="2"/>
  <c r="O85" i="2"/>
  <c r="O81" i="2"/>
  <c r="O83" i="2"/>
  <c r="O79" i="2"/>
  <c r="O77" i="2"/>
  <c r="O75" i="2"/>
  <c r="O74" i="2"/>
  <c r="O72" i="2"/>
  <c r="O67" i="2"/>
  <c r="O71" i="2"/>
  <c r="O66" i="2"/>
  <c r="O64" i="2"/>
  <c r="O61" i="2"/>
  <c r="O63" i="2"/>
  <c r="O57" i="2"/>
  <c r="O55" i="2"/>
  <c r="O54" i="2"/>
  <c r="O51" i="2"/>
  <c r="O49" i="2"/>
  <c r="O50" i="2"/>
  <c r="O48" i="2"/>
  <c r="O46" i="2"/>
  <c r="O45" i="2"/>
  <c r="O39" i="2"/>
  <c r="O36" i="2"/>
  <c r="O38" i="2"/>
  <c r="O37" i="2"/>
  <c r="O34" i="2"/>
  <c r="O30" i="2"/>
  <c r="O27" i="2"/>
  <c r="O28" i="2"/>
  <c r="O24" i="2"/>
  <c r="O25" i="2"/>
  <c r="O20" i="2"/>
  <c r="O19" i="2"/>
  <c r="O16" i="2"/>
  <c r="O15" i="2"/>
  <c r="O14" i="2"/>
  <c r="O9" i="2"/>
  <c r="O11" i="2"/>
  <c r="O8" i="2"/>
  <c r="O4" i="2"/>
  <c r="O101" i="2"/>
  <c r="O94" i="2"/>
  <c r="O87" i="2"/>
  <c r="O88" i="2"/>
  <c r="O89" i="2"/>
  <c r="O86" i="2"/>
  <c r="O84" i="2"/>
  <c r="O82" i="2"/>
  <c r="O80" i="2"/>
  <c r="O78" i="2"/>
  <c r="O76" i="2"/>
  <c r="O73" i="2"/>
  <c r="O69" i="2"/>
  <c r="O68" i="2"/>
  <c r="O70" i="2"/>
  <c r="O65" i="2"/>
  <c r="O62" i="2"/>
  <c r="O59" i="2"/>
  <c r="O60" i="2"/>
  <c r="O58" i="2"/>
  <c r="O56" i="2"/>
  <c r="O53" i="2"/>
  <c r="O52" i="2"/>
  <c r="O47" i="2"/>
  <c r="O44" i="2"/>
  <c r="O43" i="2"/>
  <c r="O41" i="2"/>
  <c r="O42" i="2"/>
  <c r="O40" i="2"/>
  <c r="O35" i="2"/>
  <c r="O33" i="2"/>
  <c r="O32" i="2"/>
  <c r="O29" i="2"/>
  <c r="O31" i="2"/>
  <c r="O26" i="2"/>
  <c r="O23" i="2"/>
  <c r="O21" i="2"/>
  <c r="O22" i="2"/>
  <c r="O18" i="2"/>
  <c r="O17" i="2"/>
  <c r="O12" i="2"/>
  <c r="O13" i="2"/>
  <c r="O10" i="2"/>
  <c r="O7" i="2"/>
  <c r="O6" i="2"/>
  <c r="O5" i="2"/>
  <c r="O2" i="2"/>
  <c r="O98" i="2"/>
  <c r="O95" i="2"/>
  <c r="O97" i="2"/>
</calcChain>
</file>

<file path=xl/sharedStrings.xml><?xml version="1.0" encoding="utf-8"?>
<sst xmlns="http://schemas.openxmlformats.org/spreadsheetml/2006/main" count="139" uniqueCount="119">
  <si>
    <t>Edad</t>
  </si>
  <si>
    <t>lx</t>
  </si>
  <si>
    <t>dx</t>
  </si>
  <si>
    <t>qx</t>
  </si>
  <si>
    <t>px</t>
  </si>
  <si>
    <t>Lx</t>
  </si>
  <si>
    <t>Tx</t>
  </si>
  <si>
    <t>mx</t>
  </si>
  <si>
    <t>Ex</t>
  </si>
  <si>
    <t>Dx</t>
  </si>
  <si>
    <t>Nx</t>
  </si>
  <si>
    <t>Sx</t>
  </si>
  <si>
    <t>Cx</t>
  </si>
  <si>
    <t>Mx</t>
  </si>
  <si>
    <t>Rx</t>
  </si>
  <si>
    <t>Radix</t>
  </si>
  <si>
    <t>w</t>
  </si>
  <si>
    <t>i</t>
  </si>
  <si>
    <t>v</t>
  </si>
  <si>
    <t>0.000332</t>
  </si>
  <si>
    <t>0.000334</t>
  </si>
  <si>
    <t>0.000336</t>
  </si>
  <si>
    <t>0.000338</t>
  </si>
  <si>
    <t>0.000341</t>
  </si>
  <si>
    <t>0.000344</t>
  </si>
  <si>
    <t>0.000348</t>
  </si>
  <si>
    <t>0.000351</t>
  </si>
  <si>
    <t>0.000355</t>
  </si>
  <si>
    <t>0.000360</t>
  </si>
  <si>
    <t>0.000365</t>
  </si>
  <si>
    <t>0.000371</t>
  </si>
  <si>
    <t>0.000377</t>
  </si>
  <si>
    <t>0.000385</t>
  </si>
  <si>
    <t>0.000392</t>
  </si>
  <si>
    <t>0.000401</t>
  </si>
  <si>
    <t>0.000411</t>
  </si>
  <si>
    <t>0.000422</t>
  </si>
  <si>
    <t>0.000434</t>
  </si>
  <si>
    <t>0.000448</t>
  </si>
  <si>
    <t>0.000463</t>
  </si>
  <si>
    <t>0.000479</t>
  </si>
  <si>
    <t>0.000498</t>
  </si>
  <si>
    <t>0.000519</t>
  </si>
  <si>
    <t>0.000542</t>
  </si>
  <si>
    <t>0.000568</t>
  </si>
  <si>
    <t>0.000596</t>
  </si>
  <si>
    <t>0.000628</t>
  </si>
  <si>
    <t>0.000663</t>
  </si>
  <si>
    <t>0.000703</t>
  </si>
  <si>
    <t>0.000747</t>
  </si>
  <si>
    <t>0.000795</t>
  </si>
  <si>
    <t>0.000850</t>
  </si>
  <si>
    <t>0.000910</t>
  </si>
  <si>
    <t>0.000977</t>
  </si>
  <si>
    <t>0.001052</t>
  </si>
  <si>
    <t>0.001136</t>
  </si>
  <si>
    <t>0.001228</t>
  </si>
  <si>
    <t>0.001331</t>
  </si>
  <si>
    <t>0.001446</t>
  </si>
  <si>
    <t>0.001574</t>
  </si>
  <si>
    <t>0.001716</t>
  </si>
  <si>
    <t>0.001874</t>
  </si>
  <si>
    <t>0.002050</t>
  </si>
  <si>
    <t>0.002246</t>
  </si>
  <si>
    <t>0.002463</t>
  </si>
  <si>
    <t>0.002706</t>
  </si>
  <si>
    <t>0.002975</t>
  </si>
  <si>
    <t>0.003275</t>
  </si>
  <si>
    <t>0.003609</t>
  </si>
  <si>
    <t>0.004009</t>
  </si>
  <si>
    <t>0.004390</t>
  </si>
  <si>
    <t>0.004803</t>
  </si>
  <si>
    <t>0.005211</t>
  </si>
  <si>
    <t>0.005628</t>
  </si>
  <si>
    <t>0.006004</t>
  </si>
  <si>
    <t>0.006461</t>
  </si>
  <si>
    <t>0.006932</t>
  </si>
  <si>
    <t>0.007398</t>
  </si>
  <si>
    <t>0.007888</t>
  </si>
  <si>
    <t>0.008369</t>
  </si>
  <si>
    <t>0.009445</t>
  </si>
  <si>
    <t>0.010558</t>
  </si>
  <si>
    <t>0.011714</t>
  </si>
  <si>
    <t>0.012954</t>
  </si>
  <si>
    <t>0.013901</t>
  </si>
  <si>
    <t>0.016214</t>
  </si>
  <si>
    <t>0.018698</t>
  </si>
  <si>
    <t>0.021132</t>
  </si>
  <si>
    <t>0.023466</t>
  </si>
  <si>
    <t>0.025797</t>
  </si>
  <si>
    <t>0.028684</t>
  </si>
  <si>
    <t>0.031768</t>
  </si>
  <si>
    <t>0.034752</t>
  </si>
  <si>
    <t>0.037836</t>
  </si>
  <si>
    <t>0.042005</t>
  </si>
  <si>
    <t>0.047502</t>
  </si>
  <si>
    <t>0.052916</t>
  </si>
  <si>
    <t>0.059014</t>
  </si>
  <si>
    <t>0.065208</t>
  </si>
  <si>
    <t>0.072845</t>
  </si>
  <si>
    <t>0.083968</t>
  </si>
  <si>
    <t>0.093826</t>
  </si>
  <si>
    <t>0.104498</t>
  </si>
  <si>
    <t>0.116042</t>
  </si>
  <si>
    <t>0.128321</t>
  </si>
  <si>
    <t>0.140999</t>
  </si>
  <si>
    <t>0.155553</t>
  </si>
  <si>
    <t>0.169833</t>
  </si>
  <si>
    <t>0.184991</t>
  </si>
  <si>
    <t>0.201454</t>
  </si>
  <si>
    <t>0.220103</t>
  </si>
  <si>
    <t>0.241212</t>
  </si>
  <si>
    <t>0.268568</t>
  </si>
  <si>
    <t>0.305424</t>
  </si>
  <si>
    <t>0.363280</t>
  </si>
  <si>
    <t>0.466234</t>
  </si>
  <si>
    <t>0.650743</t>
  </si>
  <si>
    <t>1.000000</t>
  </si>
  <si>
    <t>SUPUESTOS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</si>
</sst>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00"/>
    <numFmt numFmtId="166" formatCode="0.000000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" fontId="0" fillId="0" borderId="0" xfId="0" applyNumberFormat="1"/>
    <xf numFmtId="164" fontId="4" fillId="0" borderId="0" xfId="0" applyNumberFormat="1" applyFont="1" applyAlignment="1">
      <alignment horizontal="right"/>
    </xf>
    <xf numFmtId="164" fontId="0" fillId="0" borderId="0" xfId="0" applyNumberFormat="1"/>
    <xf numFmtId="0" fontId="5" fillId="0" borderId="0" xfId="0" applyFont="1" applyAlignment="1">
      <alignment horizontal="right" vertical="center"/>
    </xf>
    <xf numFmtId="165" fontId="0" fillId="0" borderId="0" xfId="0" applyNumberFormat="1"/>
    <xf numFmtId="166" fontId="0" fillId="0" borderId="0" xfId="0" applyNumberFormat="1"/>
    <xf numFmtId="0" fontId="2" fillId="2" borderId="1" xfId="0" applyFont="1" applyFill="1" applyBorder="1"/>
    <xf numFmtId="0" fontId="1" fillId="3" borderId="0" xfId="0" applyFont="1" applyFill="1" applyAlignment="1">
      <alignment vertical="center"/>
    </xf>
    <xf numFmtId="0" fontId="3" fillId="3" borderId="0" xfId="0" applyFont="1" applyFill="1"/>
    <xf numFmtId="0" fontId="2" fillId="4" borderId="1" xfId="0" applyFont="1" applyFill="1" applyBorder="1"/>
    <xf numFmtId="9" fontId="2" fillId="4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tima/Downloads/PIA%20Calculo%2027-11-20(1)%20(2)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bres"/>
      <sheetName val="Mujeres"/>
      <sheetName val="SEGURO"/>
      <sheetName val="DATO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B3" t="str">
            <v>Anualidades</v>
          </cell>
          <cell r="F3">
            <v>16</v>
          </cell>
        </row>
        <row r="4">
          <cell r="B4" t="str">
            <v>Seguros_Vida</v>
          </cell>
          <cell r="F4">
            <v>17</v>
          </cell>
        </row>
        <row r="5">
          <cell r="F5">
            <v>18</v>
          </cell>
        </row>
        <row r="6">
          <cell r="F6">
            <v>19</v>
          </cell>
        </row>
        <row r="7">
          <cell r="F7">
            <v>20</v>
          </cell>
        </row>
        <row r="8">
          <cell r="F8">
            <v>21</v>
          </cell>
        </row>
        <row r="9">
          <cell r="F9">
            <v>22</v>
          </cell>
        </row>
        <row r="10">
          <cell r="F10">
            <v>23</v>
          </cell>
        </row>
        <row r="11">
          <cell r="F11">
            <v>24</v>
          </cell>
        </row>
        <row r="12">
          <cell r="F12">
            <v>25</v>
          </cell>
        </row>
        <row r="13">
          <cell r="F13">
            <v>26</v>
          </cell>
        </row>
        <row r="14">
          <cell r="F14">
            <v>27</v>
          </cell>
        </row>
        <row r="15">
          <cell r="F15">
            <v>28</v>
          </cell>
        </row>
        <row r="16">
          <cell r="F16">
            <v>29</v>
          </cell>
        </row>
        <row r="17">
          <cell r="F17">
            <v>30</v>
          </cell>
        </row>
        <row r="18">
          <cell r="F18">
            <v>31</v>
          </cell>
        </row>
        <row r="19">
          <cell r="F19">
            <v>32</v>
          </cell>
        </row>
        <row r="20">
          <cell r="F20">
            <v>33</v>
          </cell>
        </row>
        <row r="21">
          <cell r="F21">
            <v>34</v>
          </cell>
        </row>
        <row r="22">
          <cell r="F22">
            <v>35</v>
          </cell>
        </row>
        <row r="23">
          <cell r="F23">
            <v>36</v>
          </cell>
        </row>
        <row r="24">
          <cell r="F24">
            <v>37</v>
          </cell>
        </row>
        <row r="25">
          <cell r="F25">
            <v>38</v>
          </cell>
        </row>
        <row r="26">
          <cell r="F26">
            <v>39</v>
          </cell>
        </row>
        <row r="27">
          <cell r="F27">
            <v>40</v>
          </cell>
        </row>
        <row r="28">
          <cell r="F28">
            <v>41</v>
          </cell>
        </row>
        <row r="29">
          <cell r="F29">
            <v>42</v>
          </cell>
        </row>
        <row r="30">
          <cell r="F30">
            <v>43</v>
          </cell>
        </row>
        <row r="31">
          <cell r="F31">
            <v>44</v>
          </cell>
        </row>
        <row r="32">
          <cell r="F32">
            <v>45</v>
          </cell>
        </row>
        <row r="33">
          <cell r="F33">
            <v>46</v>
          </cell>
        </row>
        <row r="34">
          <cell r="F34">
            <v>47</v>
          </cell>
        </row>
        <row r="35">
          <cell r="F35">
            <v>48</v>
          </cell>
        </row>
        <row r="36">
          <cell r="F36">
            <v>49</v>
          </cell>
        </row>
        <row r="37">
          <cell r="F37">
            <v>50</v>
          </cell>
        </row>
        <row r="38">
          <cell r="F38">
            <v>51</v>
          </cell>
        </row>
        <row r="39">
          <cell r="F39">
            <v>52</v>
          </cell>
        </row>
        <row r="40">
          <cell r="F40">
            <v>53</v>
          </cell>
        </row>
        <row r="41">
          <cell r="F41">
            <v>54</v>
          </cell>
        </row>
        <row r="42">
          <cell r="F42">
            <v>55</v>
          </cell>
        </row>
        <row r="43">
          <cell r="F43">
            <v>56</v>
          </cell>
        </row>
        <row r="44">
          <cell r="F44">
            <v>57</v>
          </cell>
        </row>
        <row r="45">
          <cell r="F45">
            <v>58</v>
          </cell>
        </row>
        <row r="46">
          <cell r="F46">
            <v>59</v>
          </cell>
        </row>
        <row r="47">
          <cell r="F47">
            <v>60</v>
          </cell>
        </row>
        <row r="48">
          <cell r="F48">
            <v>61</v>
          </cell>
        </row>
        <row r="49">
          <cell r="F49">
            <v>62</v>
          </cell>
        </row>
        <row r="50">
          <cell r="F50">
            <v>63</v>
          </cell>
        </row>
        <row r="51">
          <cell r="F51">
            <v>64</v>
          </cell>
        </row>
        <row r="52">
          <cell r="F52">
            <v>65</v>
          </cell>
        </row>
        <row r="53">
          <cell r="F53">
            <v>66</v>
          </cell>
        </row>
        <row r="54">
          <cell r="F54">
            <v>67</v>
          </cell>
        </row>
        <row r="55">
          <cell r="F55">
            <v>68</v>
          </cell>
        </row>
        <row r="56">
          <cell r="F56">
            <v>69</v>
          </cell>
        </row>
        <row r="57">
          <cell r="F57">
            <v>70</v>
          </cell>
        </row>
        <row r="58">
          <cell r="F58">
            <v>71</v>
          </cell>
        </row>
        <row r="59">
          <cell r="F59">
            <v>72</v>
          </cell>
        </row>
        <row r="60">
          <cell r="F60">
            <v>73</v>
          </cell>
        </row>
        <row r="61">
          <cell r="F61">
            <v>74</v>
          </cell>
        </row>
        <row r="62">
          <cell r="F62">
            <v>75</v>
          </cell>
        </row>
        <row r="63">
          <cell r="F63">
            <v>76</v>
          </cell>
        </row>
        <row r="64">
          <cell r="F64">
            <v>77</v>
          </cell>
        </row>
        <row r="65">
          <cell r="F65">
            <v>78</v>
          </cell>
        </row>
        <row r="66">
          <cell r="F66">
            <v>79</v>
          </cell>
        </row>
        <row r="67">
          <cell r="F67">
            <v>80</v>
          </cell>
        </row>
        <row r="68">
          <cell r="F68">
            <v>81</v>
          </cell>
        </row>
        <row r="69">
          <cell r="F69">
            <v>82</v>
          </cell>
        </row>
        <row r="70">
          <cell r="F70">
            <v>83</v>
          </cell>
        </row>
        <row r="71">
          <cell r="F71">
            <v>84</v>
          </cell>
        </row>
        <row r="72">
          <cell r="F72">
            <v>85</v>
          </cell>
        </row>
        <row r="73">
          <cell r="F73">
            <v>86</v>
          </cell>
        </row>
        <row r="74">
          <cell r="F74">
            <v>87</v>
          </cell>
        </row>
        <row r="75">
          <cell r="F75">
            <v>88</v>
          </cell>
        </row>
        <row r="76">
          <cell r="F76">
            <v>89</v>
          </cell>
        </row>
        <row r="77">
          <cell r="F77">
            <v>90</v>
          </cell>
        </row>
        <row r="78">
          <cell r="F78">
            <v>91</v>
          </cell>
        </row>
        <row r="79">
          <cell r="F79">
            <v>92</v>
          </cell>
        </row>
        <row r="80">
          <cell r="F80">
            <v>93</v>
          </cell>
        </row>
        <row r="81">
          <cell r="F81">
            <v>94</v>
          </cell>
        </row>
        <row r="82">
          <cell r="F82">
            <v>95</v>
          </cell>
        </row>
        <row r="83">
          <cell r="F83">
            <v>96</v>
          </cell>
        </row>
        <row r="84">
          <cell r="F84">
            <v>97</v>
          </cell>
        </row>
        <row r="85">
          <cell r="F85">
            <v>98</v>
          </cell>
        </row>
        <row r="86">
          <cell r="F86">
            <v>99</v>
          </cell>
        </row>
        <row r="87">
          <cell r="F87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0131E-00CB-4882-9682-E68AFB6943EE}">
  <sheetPr codeName="Hoja4"/>
  <dimension ref="A1:R102"/>
  <sheetViews>
    <sheetView topLeftCell="L1" workbookViewId="0">
      <selection activeCell="T6" sqref="T6"/>
    </sheetView>
  </sheetViews>
  <sheetFormatPr baseColWidth="10"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Q1" s="8" t="s">
        <v>118</v>
      </c>
      <c r="R1" s="9"/>
    </row>
    <row r="2" spans="1:18" x14ac:dyDescent="0.25">
      <c r="A2">
        <v>0</v>
      </c>
      <c r="B2">
        <f>R2</f>
        <v>1000000</v>
      </c>
      <c r="C2" s="1">
        <f>B2-B3</f>
        <v>11327</v>
      </c>
      <c r="D2" s="2">
        <v>1.1327E-2</v>
      </c>
      <c r="E2" s="3">
        <f>1-D2</f>
        <v>0.98867300000000002</v>
      </c>
      <c r="F2" s="1">
        <f>(B2+B3)/2</f>
        <v>994336.5</v>
      </c>
      <c r="G2" s="1">
        <f>SUM(F2:$F$102)</f>
        <v>74768331.562417388</v>
      </c>
      <c r="H2">
        <f>C2/F2</f>
        <v>1.1391515850016569E-2</v>
      </c>
      <c r="I2" s="1">
        <f>G2/B2</f>
        <v>74.768331562417387</v>
      </c>
      <c r="J2" s="1">
        <f t="shared" ref="J2:J33" si="0">($R$5^A2)*B2</f>
        <v>1000000</v>
      </c>
      <c r="K2" s="1">
        <f>SUM(J2:$J$102)</f>
        <v>20021443.470382176</v>
      </c>
      <c r="L2" s="1">
        <f>SUM(K2:$K$102)</f>
        <v>378148017.11859202</v>
      </c>
      <c r="M2" s="1">
        <f t="shared" ref="M2:M33" si="1">(($R$5^(1+A2))*C2)</f>
        <v>10787.619047619048</v>
      </c>
      <c r="N2" s="1">
        <f>SUM(M2:$M$102)</f>
        <v>46597.929981800589</v>
      </c>
      <c r="O2" s="1">
        <f>SUM(N2:$N$102)</f>
        <v>2014395.0361634998</v>
      </c>
      <c r="Q2" s="7" t="s">
        <v>15</v>
      </c>
      <c r="R2" s="7">
        <v>1000000</v>
      </c>
    </row>
    <row r="3" spans="1:18" x14ac:dyDescent="0.25">
      <c r="A3">
        <v>1</v>
      </c>
      <c r="B3">
        <f t="shared" ref="B3:B66" si="2">B2*E2</f>
        <v>988673</v>
      </c>
      <c r="C3" s="1">
        <f t="shared" ref="C3:C66" si="3">B3-B4</f>
        <v>593.20380000001751</v>
      </c>
      <c r="D3" s="2">
        <v>5.9999999999999995E-4</v>
      </c>
      <c r="E3" s="3">
        <f t="shared" ref="E3:E66" si="4">1-D3</f>
        <v>0.99939999999999996</v>
      </c>
      <c r="F3" s="1">
        <f t="shared" ref="F3:F66" si="5">(B3+B4)/2</f>
        <v>988376.39809999999</v>
      </c>
      <c r="G3" s="1">
        <f>SUM(F3:$F$102)</f>
        <v>73773995.062417418</v>
      </c>
      <c r="H3">
        <f t="shared" ref="H3:H66" si="6">C3/F3</f>
        <v>6.0018005401622256E-4</v>
      </c>
      <c r="I3" s="1">
        <f t="shared" ref="I3:I66" si="7">G3/B3</f>
        <v>74.619206818045413</v>
      </c>
      <c r="J3" s="1">
        <f t="shared" si="0"/>
        <v>941593.33333333326</v>
      </c>
      <c r="K3" s="1">
        <f>SUM(J3:$J$102)</f>
        <v>19021443.470382176</v>
      </c>
      <c r="L3" s="1">
        <f>SUM(K3:$K$102)</f>
        <v>358126573.64820987</v>
      </c>
      <c r="M3" s="1">
        <f t="shared" si="1"/>
        <v>538.0533333333492</v>
      </c>
      <c r="N3" s="1">
        <f>SUM(M3:$M$102)</f>
        <v>35810.310934181529</v>
      </c>
      <c r="O3" s="1">
        <f>SUM(N3:$N$102)</f>
        <v>1967797.1061816991</v>
      </c>
      <c r="Q3" s="10" t="s">
        <v>16</v>
      </c>
      <c r="R3" s="10">
        <v>100</v>
      </c>
    </row>
    <row r="4" spans="1:18" x14ac:dyDescent="0.25">
      <c r="A4">
        <v>2</v>
      </c>
      <c r="B4" s="1">
        <f t="shared" si="2"/>
        <v>988079.79619999998</v>
      </c>
      <c r="C4" s="1">
        <f t="shared" si="3"/>
        <v>533.56308994803112</v>
      </c>
      <c r="D4" s="2">
        <v>5.4000000000000001E-4</v>
      </c>
      <c r="E4" s="3">
        <f t="shared" si="4"/>
        <v>0.99946000000000002</v>
      </c>
      <c r="F4" s="1">
        <f t="shared" si="5"/>
        <v>987813.01465502591</v>
      </c>
      <c r="G4" s="1">
        <f>SUM(F4:$F$102)</f>
        <v>72785618.664317414</v>
      </c>
      <c r="H4">
        <f t="shared" si="6"/>
        <v>5.4014583937666324E-4</v>
      </c>
      <c r="I4" s="1">
        <f t="shared" si="7"/>
        <v>73.66370504107006</v>
      </c>
      <c r="J4" s="1">
        <f t="shared" si="0"/>
        <v>896217.50222222216</v>
      </c>
      <c r="K4" s="1">
        <f>SUM(J4:$J$102)</f>
        <v>18079850.137048848</v>
      </c>
      <c r="L4" s="1">
        <f>SUM(K4:$K$102)</f>
        <v>339105130.17782766</v>
      </c>
      <c r="M4" s="1">
        <f t="shared" si="1"/>
        <v>460.91185828574112</v>
      </c>
      <c r="N4" s="1">
        <f>SUM(M4:$M$102)</f>
        <v>35272.257600848177</v>
      </c>
      <c r="O4" s="1">
        <f>SUM(N4:$N$102)</f>
        <v>1931986.7952475182</v>
      </c>
      <c r="Q4" s="10" t="s">
        <v>17</v>
      </c>
      <c r="R4" s="11">
        <v>0.05</v>
      </c>
    </row>
    <row r="5" spans="1:18" x14ac:dyDescent="0.25">
      <c r="A5">
        <v>3</v>
      </c>
      <c r="B5" s="1">
        <f t="shared" si="2"/>
        <v>987546.23311005195</v>
      </c>
      <c r="C5" s="1">
        <f t="shared" si="3"/>
        <v>483.89765422395431</v>
      </c>
      <c r="D5" s="2">
        <v>4.8999999999999998E-4</v>
      </c>
      <c r="E5" s="3">
        <f t="shared" si="4"/>
        <v>0.99951000000000001</v>
      </c>
      <c r="F5" s="1">
        <f t="shared" si="5"/>
        <v>987304.28428293997</v>
      </c>
      <c r="G5" s="1">
        <f>SUM(F5:$F$102)</f>
        <v>71797805.649662405</v>
      </c>
      <c r="H5">
        <f t="shared" si="6"/>
        <v>4.9012007941948697E-4</v>
      </c>
      <c r="I5" s="1">
        <f t="shared" si="7"/>
        <v>72.703234787855521</v>
      </c>
      <c r="J5" s="1">
        <f t="shared" si="0"/>
        <v>853079.56644859246</v>
      </c>
      <c r="K5" s="1">
        <f>SUM(J5:$J$102)</f>
        <v>17183632.634826623</v>
      </c>
      <c r="L5" s="1">
        <f>SUM(K5:$K$102)</f>
        <v>321025280.04077888</v>
      </c>
      <c r="M5" s="1">
        <f t="shared" si="1"/>
        <v>398.10379767603354</v>
      </c>
      <c r="N5" s="1">
        <f>SUM(M5:$M$102)</f>
        <v>34811.345742562444</v>
      </c>
      <c r="O5" s="1">
        <f>SUM(N5:$N$102)</f>
        <v>1896714.5376466697</v>
      </c>
      <c r="Q5" s="10" t="s">
        <v>18</v>
      </c>
      <c r="R5" s="10">
        <f>1/(1+R4)</f>
        <v>0.95238095238095233</v>
      </c>
    </row>
    <row r="6" spans="1:18" x14ac:dyDescent="0.25">
      <c r="A6">
        <v>4</v>
      </c>
      <c r="B6" s="1">
        <f t="shared" si="2"/>
        <v>987062.335455828</v>
      </c>
      <c r="C6" s="1">
        <f t="shared" si="3"/>
        <v>454.04867430974264</v>
      </c>
      <c r="D6" s="2">
        <v>4.6000000000000001E-4</v>
      </c>
      <c r="E6" s="3">
        <f t="shared" si="4"/>
        <v>0.99953999999999998</v>
      </c>
      <c r="F6" s="1">
        <f t="shared" si="5"/>
        <v>986835.31111867307</v>
      </c>
      <c r="G6" s="1">
        <f>SUM(F6:$F$102)</f>
        <v>70810501.365379453</v>
      </c>
      <c r="H6">
        <f t="shared" si="6"/>
        <v>4.6010582433966075E-4</v>
      </c>
      <c r="I6" s="1">
        <f t="shared" si="7"/>
        <v>71.738631717397027</v>
      </c>
      <c r="J6" s="1">
        <f t="shared" si="0"/>
        <v>812058.62615336431</v>
      </c>
      <c r="K6" s="1">
        <f>SUM(J6:$J$102)</f>
        <v>16330553.068378031</v>
      </c>
      <c r="L6" s="1">
        <f>SUM(K6:$K$102)</f>
        <v>303841647.40595222</v>
      </c>
      <c r="M6" s="1">
        <f t="shared" si="1"/>
        <v>355.75901717199844</v>
      </c>
      <c r="N6" s="1">
        <f>SUM(M6:$M$102)</f>
        <v>34413.241944886409</v>
      </c>
      <c r="O6" s="1">
        <f>SUM(N6:$N$102)</f>
        <v>1861903.1919041073</v>
      </c>
    </row>
    <row r="7" spans="1:18" x14ac:dyDescent="0.25">
      <c r="A7">
        <v>5</v>
      </c>
      <c r="B7" s="1">
        <f t="shared" si="2"/>
        <v>986608.28678151825</v>
      </c>
      <c r="C7" s="1">
        <f t="shared" si="3"/>
        <v>424.24156331608538</v>
      </c>
      <c r="D7" s="2">
        <v>4.2999999999999999E-4</v>
      </c>
      <c r="E7" s="3">
        <f t="shared" si="4"/>
        <v>0.99956999999999996</v>
      </c>
      <c r="F7" s="1">
        <f t="shared" si="5"/>
        <v>986396.16599986027</v>
      </c>
      <c r="G7" s="1">
        <f>SUM(F7:$F$102)</f>
        <v>69823666.054260775</v>
      </c>
      <c r="H7">
        <f t="shared" si="6"/>
        <v>4.3009246988105738E-4</v>
      </c>
      <c r="I7" s="1">
        <f t="shared" si="7"/>
        <v>70.771416569018783</v>
      </c>
      <c r="J7" s="1">
        <f t="shared" si="0"/>
        <v>773033.40874793683</v>
      </c>
      <c r="K7" s="1">
        <f>SUM(J7:$J$102)</f>
        <v>15518494.442224666</v>
      </c>
      <c r="L7" s="1">
        <f>SUM(K7:$K$102)</f>
        <v>287511094.33757424</v>
      </c>
      <c r="M7" s="1">
        <f t="shared" si="1"/>
        <v>316.57558643965558</v>
      </c>
      <c r="N7" s="1">
        <f>SUM(M7:$M$102)</f>
        <v>34057.482927714409</v>
      </c>
      <c r="O7" s="1">
        <f>SUM(N7:$N$102)</f>
        <v>1827489.9499592206</v>
      </c>
    </row>
    <row r="8" spans="1:18" x14ac:dyDescent="0.25">
      <c r="A8">
        <v>6</v>
      </c>
      <c r="B8" s="1">
        <f t="shared" si="2"/>
        <v>986184.04521820217</v>
      </c>
      <c r="C8" s="1">
        <f t="shared" si="3"/>
        <v>404.33545853942633</v>
      </c>
      <c r="D8" s="2">
        <v>4.0999999999999999E-4</v>
      </c>
      <c r="E8" s="3">
        <f t="shared" si="4"/>
        <v>0.99958999999999998</v>
      </c>
      <c r="F8" s="1">
        <f t="shared" si="5"/>
        <v>985981.87748893246</v>
      </c>
      <c r="G8" s="1">
        <f>SUM(F8:$F$102)</f>
        <v>68837269.888260916</v>
      </c>
      <c r="H8">
        <f t="shared" si="6"/>
        <v>4.1008406723374582E-4</v>
      </c>
      <c r="I8" s="1">
        <f t="shared" si="7"/>
        <v>69.801646276917864</v>
      </c>
      <c r="J8" s="1">
        <f t="shared" si="0"/>
        <v>735905.71845921455</v>
      </c>
      <c r="K8" s="1">
        <f>SUM(J8:$J$102)</f>
        <v>14745461.033476729</v>
      </c>
      <c r="L8" s="1">
        <f>SUM(K8:$K$102)</f>
        <v>271992599.89534944</v>
      </c>
      <c r="M8" s="1">
        <f t="shared" si="1"/>
        <v>287.35366149357202</v>
      </c>
      <c r="N8" s="1">
        <f>SUM(M8:$M$102)</f>
        <v>33740.90734127476</v>
      </c>
      <c r="O8" s="1">
        <f>SUM(N8:$N$102)</f>
        <v>1793432.4670315066</v>
      </c>
    </row>
    <row r="9" spans="1:18" x14ac:dyDescent="0.25">
      <c r="A9">
        <v>7</v>
      </c>
      <c r="B9" s="1">
        <f t="shared" si="2"/>
        <v>985779.70975966274</v>
      </c>
      <c r="C9" s="1">
        <f t="shared" si="3"/>
        <v>394.31188390380703</v>
      </c>
      <c r="D9" s="2">
        <v>4.0000000000000002E-4</v>
      </c>
      <c r="E9" s="3">
        <f t="shared" si="4"/>
        <v>0.99960000000000004</v>
      </c>
      <c r="F9" s="1">
        <f t="shared" si="5"/>
        <v>985582.55381771084</v>
      </c>
      <c r="G9" s="1">
        <f>SUM(F9:$F$102)</f>
        <v>67851288.010772005</v>
      </c>
      <c r="H9">
        <f t="shared" si="6"/>
        <v>4.0008001600314171E-4</v>
      </c>
      <c r="I9" s="1">
        <f t="shared" si="7"/>
        <v>68.830071606276448</v>
      </c>
      <c r="J9" s="1">
        <f t="shared" si="0"/>
        <v>700575.23534728214</v>
      </c>
      <c r="K9" s="1">
        <f>SUM(J9:$J$102)</f>
        <v>14009555.315017514</v>
      </c>
      <c r="L9" s="1">
        <f>SUM(K9:$K$102)</f>
        <v>257247138.86187267</v>
      </c>
      <c r="M9" s="1">
        <f t="shared" si="1"/>
        <v>266.88580394178246</v>
      </c>
      <c r="N9" s="1">
        <f>SUM(M9:$M$102)</f>
        <v>33453.553679781187</v>
      </c>
      <c r="O9" s="1">
        <f>SUM(N9:$N$102)</f>
        <v>1759691.5596902312</v>
      </c>
    </row>
    <row r="10" spans="1:18" x14ac:dyDescent="0.25">
      <c r="A10">
        <v>8</v>
      </c>
      <c r="B10" s="1">
        <f t="shared" si="2"/>
        <v>985385.39787575894</v>
      </c>
      <c r="C10" s="1">
        <f t="shared" si="3"/>
        <v>384.30030517152045</v>
      </c>
      <c r="D10" s="2">
        <v>3.8999999999999999E-4</v>
      </c>
      <c r="E10" s="3">
        <f t="shared" si="4"/>
        <v>0.99961</v>
      </c>
      <c r="F10" s="1">
        <f t="shared" si="5"/>
        <v>985193.24772317312</v>
      </c>
      <c r="G10" s="1">
        <f>SUM(F10:$F$102)</f>
        <v>66865705.456954278</v>
      </c>
      <c r="H10">
        <f t="shared" si="6"/>
        <v>3.9007606483261649E-4</v>
      </c>
      <c r="I10" s="1">
        <f t="shared" si="7"/>
        <v>67.85741457210527</v>
      </c>
      <c r="J10" s="1">
        <f t="shared" si="0"/>
        <v>666947.62405061256</v>
      </c>
      <c r="K10" s="1">
        <f>SUM(J10:$J$102)</f>
        <v>13308980.079670232</v>
      </c>
      <c r="L10" s="1">
        <f>SUM(K10:$K$102)</f>
        <v>243237583.54685515</v>
      </c>
      <c r="M10" s="1">
        <f t="shared" si="1"/>
        <v>247.72340321878249</v>
      </c>
      <c r="N10" s="1">
        <f>SUM(M10:$M$102)</f>
        <v>33186.667875839405</v>
      </c>
      <c r="O10" s="1">
        <f>SUM(N10:$N$102)</f>
        <v>1726238.0060104502</v>
      </c>
    </row>
    <row r="11" spans="1:18" x14ac:dyDescent="0.25">
      <c r="A11">
        <v>9</v>
      </c>
      <c r="B11" s="1">
        <f t="shared" si="2"/>
        <v>985001.09757058742</v>
      </c>
      <c r="C11" s="1">
        <f t="shared" si="3"/>
        <v>374.30041707691271</v>
      </c>
      <c r="D11" s="2">
        <v>3.8000000000000002E-4</v>
      </c>
      <c r="E11" s="3">
        <f t="shared" si="4"/>
        <v>0.99961999999999995</v>
      </c>
      <c r="F11" s="1">
        <f t="shared" si="5"/>
        <v>984813.94736204902</v>
      </c>
      <c r="G11" s="1">
        <f>SUM(F11:$F$102)</f>
        <v>65880512.209231101</v>
      </c>
      <c r="H11">
        <f t="shared" si="6"/>
        <v>3.8007221372069779E-4</v>
      </c>
      <c r="I11" s="1">
        <f t="shared" si="7"/>
        <v>66.883694212848283</v>
      </c>
      <c r="J11" s="1">
        <f t="shared" si="0"/>
        <v>634940.48997831705</v>
      </c>
      <c r="K11" s="1">
        <f>SUM(J11:$J$102)</f>
        <v>12642032.45561962</v>
      </c>
      <c r="L11" s="1">
        <f>SUM(K11:$K$102)</f>
        <v>229928603.4671849</v>
      </c>
      <c r="M11" s="1">
        <f t="shared" si="1"/>
        <v>229.78798684935057</v>
      </c>
      <c r="N11" s="1">
        <f>SUM(M11:$M$102)</f>
        <v>32938.94447262062</v>
      </c>
      <c r="O11" s="1">
        <f>SUM(N11:$N$102)</f>
        <v>1693051.3381346108</v>
      </c>
    </row>
    <row r="12" spans="1:18" x14ac:dyDescent="0.25">
      <c r="A12">
        <v>10</v>
      </c>
      <c r="B12" s="1">
        <f t="shared" si="2"/>
        <v>984626.7971535105</v>
      </c>
      <c r="C12" s="1">
        <f t="shared" si="3"/>
        <v>364.3119149467675</v>
      </c>
      <c r="D12" s="2">
        <v>3.6999999999999999E-4</v>
      </c>
      <c r="E12" s="3">
        <f t="shared" si="4"/>
        <v>0.99963000000000002</v>
      </c>
      <c r="F12" s="1">
        <f t="shared" si="5"/>
        <v>984444.64119603718</v>
      </c>
      <c r="G12" s="1">
        <f>SUM(F12:$F$102)</f>
        <v>64895698.261869058</v>
      </c>
      <c r="H12">
        <f t="shared" si="6"/>
        <v>3.7006846266556123E-4</v>
      </c>
      <c r="I12" s="1">
        <f t="shared" si="7"/>
        <v>65.90892960609861</v>
      </c>
      <c r="J12" s="1">
        <f t="shared" si="0"/>
        <v>604475.44056392869</v>
      </c>
      <c r="K12" s="1">
        <f>SUM(J12:$J$102)</f>
        <v>12007091.965641303</v>
      </c>
      <c r="L12" s="1">
        <f>SUM(K12:$K$102)</f>
        <v>217286571.01156527</v>
      </c>
      <c r="M12" s="1">
        <f t="shared" si="1"/>
        <v>213.00563143679463</v>
      </c>
      <c r="N12" s="1">
        <f>SUM(M12:$M$102)</f>
        <v>32709.156485771287</v>
      </c>
      <c r="O12" s="1">
        <f>SUM(N12:$N$102)</f>
        <v>1660112.3936619905</v>
      </c>
    </row>
    <row r="13" spans="1:18" x14ac:dyDescent="0.25">
      <c r="A13">
        <v>11</v>
      </c>
      <c r="B13" s="1">
        <f t="shared" si="2"/>
        <v>984262.48523856374</v>
      </c>
      <c r="C13" s="1">
        <f t="shared" si="3"/>
        <v>364.1771195383044</v>
      </c>
      <c r="D13" s="2">
        <v>3.6999999999999999E-4</v>
      </c>
      <c r="E13" s="3">
        <f t="shared" si="4"/>
        <v>0.99963000000000002</v>
      </c>
      <c r="F13" s="1">
        <f t="shared" si="5"/>
        <v>984080.39667879464</v>
      </c>
      <c r="G13" s="1">
        <f>SUM(F13:$F$102)</f>
        <v>63911253.620673016</v>
      </c>
      <c r="H13">
        <f t="shared" si="6"/>
        <v>3.7006846266562953E-4</v>
      </c>
      <c r="I13" s="1">
        <f t="shared" si="7"/>
        <v>64.933139867849704</v>
      </c>
      <c r="J13" s="1">
        <f t="shared" si="0"/>
        <v>575477.89014373347</v>
      </c>
      <c r="K13" s="1">
        <f>SUM(J13:$J$102)</f>
        <v>11402616.525077373</v>
      </c>
      <c r="L13" s="1">
        <f>SUM(K13:$K$102)</f>
        <v>205279479.04592395</v>
      </c>
      <c r="M13" s="1">
        <f t="shared" si="1"/>
        <v>202.78744700304981</v>
      </c>
      <c r="N13" s="1">
        <f>SUM(M13:$M$102)</f>
        <v>32496.15085433449</v>
      </c>
      <c r="O13" s="1">
        <f>SUM(N13:$N$102)</f>
        <v>1627403.2371762188</v>
      </c>
    </row>
    <row r="14" spans="1:18" x14ac:dyDescent="0.25">
      <c r="A14">
        <v>12</v>
      </c>
      <c r="B14" s="1">
        <f t="shared" si="2"/>
        <v>983898.30811902543</v>
      </c>
      <c r="C14" s="1">
        <f t="shared" si="3"/>
        <v>344.36440784158185</v>
      </c>
      <c r="D14" s="2">
        <v>3.5E-4</v>
      </c>
      <c r="E14" s="3">
        <f t="shared" si="4"/>
        <v>0.99965000000000004</v>
      </c>
      <c r="F14" s="1">
        <f t="shared" si="5"/>
        <v>983726.12591510464</v>
      </c>
      <c r="G14" s="1">
        <f>SUM(F14:$F$102)</f>
        <v>62927173.223994225</v>
      </c>
      <c r="H14">
        <f t="shared" si="6"/>
        <v>3.5006126072054778E-4</v>
      </c>
      <c r="I14" s="1">
        <f t="shared" si="7"/>
        <v>63.956988953762604</v>
      </c>
      <c r="J14" s="1">
        <f t="shared" si="0"/>
        <v>547871.39364226686</v>
      </c>
      <c r="K14" s="1">
        <f>SUM(J14:$J$102)</f>
        <v>10827138.634933641</v>
      </c>
      <c r="L14" s="1">
        <f>SUM(K14:$K$102)</f>
        <v>193876862.52084658</v>
      </c>
      <c r="M14" s="1">
        <f t="shared" si="1"/>
        <v>182.62379788071473</v>
      </c>
      <c r="N14" s="1">
        <f>SUM(M14:$M$102)</f>
        <v>32293.363407331439</v>
      </c>
      <c r="O14" s="1">
        <f>SUM(N14:$N$102)</f>
        <v>1594907.0863218845</v>
      </c>
    </row>
    <row r="15" spans="1:18" x14ac:dyDescent="0.25">
      <c r="A15">
        <v>13</v>
      </c>
      <c r="B15" s="1">
        <f t="shared" si="2"/>
        <v>983553.94371118385</v>
      </c>
      <c r="C15" s="1">
        <f t="shared" si="3"/>
        <v>418.99398002098314</v>
      </c>
      <c r="D15" s="2">
        <v>4.26E-4</v>
      </c>
      <c r="E15" s="3">
        <f t="shared" si="4"/>
        <v>0.99957399999999996</v>
      </c>
      <c r="F15" s="1">
        <f t="shared" si="5"/>
        <v>983344.44672117336</v>
      </c>
      <c r="G15" s="1">
        <f>SUM(F15:$F$102)</f>
        <v>61943447.098079115</v>
      </c>
      <c r="H15">
        <f t="shared" si="6"/>
        <v>4.2609075733133074E-4</v>
      </c>
      <c r="I15" s="1">
        <f t="shared" si="7"/>
        <v>62.979206676099231</v>
      </c>
      <c r="J15" s="1">
        <f t="shared" si="0"/>
        <v>521599.65586142096</v>
      </c>
      <c r="K15" s="1">
        <f>SUM(J15:$J$102)</f>
        <v>10279267.241291374</v>
      </c>
      <c r="L15" s="1">
        <f>SUM(K15:$K$102)</f>
        <v>183049723.8859129</v>
      </c>
      <c r="M15" s="1">
        <f t="shared" si="1"/>
        <v>211.62043180664315</v>
      </c>
      <c r="N15" s="1">
        <f>SUM(M15:$M$102)</f>
        <v>32110.739609450728</v>
      </c>
      <c r="O15" s="1">
        <f>SUM(N15:$N$102)</f>
        <v>1562613.722914553</v>
      </c>
    </row>
    <row r="16" spans="1:18" x14ac:dyDescent="0.25">
      <c r="A16">
        <v>14</v>
      </c>
      <c r="B16" s="1">
        <f t="shared" si="2"/>
        <v>983134.94973116287</v>
      </c>
      <c r="C16" s="1">
        <f t="shared" si="3"/>
        <v>509.26390396081842</v>
      </c>
      <c r="D16" s="2">
        <v>5.1800000000000001E-4</v>
      </c>
      <c r="E16" s="3">
        <f t="shared" si="4"/>
        <v>0.99948199999999998</v>
      </c>
      <c r="F16" s="1">
        <f t="shared" si="5"/>
        <v>982880.31777918246</v>
      </c>
      <c r="G16" s="1">
        <f>SUM(F16:$F$102)</f>
        <v>60960102.651357941</v>
      </c>
      <c r="H16">
        <f t="shared" si="6"/>
        <v>5.1813419675703748E-4</v>
      </c>
      <c r="I16" s="1">
        <f t="shared" si="7"/>
        <v>62.005834161452007</v>
      </c>
      <c r="J16" s="1">
        <f t="shared" si="0"/>
        <v>496549.95657907048</v>
      </c>
      <c r="K16" s="1">
        <f>SUM(J16:$J$102)</f>
        <v>9757667.5854299515</v>
      </c>
      <c r="L16" s="1">
        <f>SUM(K16:$K$102)</f>
        <v>172770456.64462152</v>
      </c>
      <c r="M16" s="1">
        <f t="shared" si="1"/>
        <v>244.96464524571135</v>
      </c>
      <c r="N16" s="1">
        <f>SUM(M16:$M$102)</f>
        <v>31899.119177644083</v>
      </c>
      <c r="O16" s="1">
        <f>SUM(N16:$N$102)</f>
        <v>1530502.9833051024</v>
      </c>
    </row>
    <row r="17" spans="1:16" x14ac:dyDescent="0.25">
      <c r="A17">
        <v>15</v>
      </c>
      <c r="B17" s="1">
        <f t="shared" si="2"/>
        <v>982625.68582720205</v>
      </c>
      <c r="C17" s="1">
        <f t="shared" si="3"/>
        <v>587.61016012460459</v>
      </c>
      <c r="D17" s="2">
        <v>5.9800000000000001E-4</v>
      </c>
      <c r="E17" s="3">
        <f t="shared" si="4"/>
        <v>0.99940200000000001</v>
      </c>
      <c r="F17" s="1">
        <f t="shared" si="5"/>
        <v>982331.88074713969</v>
      </c>
      <c r="G17" s="1">
        <f>SUM(F17:$F$102)</f>
        <v>59977222.333578758</v>
      </c>
      <c r="H17">
        <f t="shared" si="6"/>
        <v>5.9817885547772457E-4</v>
      </c>
      <c r="I17" s="1">
        <f t="shared" si="7"/>
        <v>61.037710695592331</v>
      </c>
      <c r="J17" s="1">
        <f t="shared" si="0"/>
        <v>472659.75590624998</v>
      </c>
      <c r="K17" s="1">
        <f>SUM(J17:$J$102)</f>
        <v>9261117.628850881</v>
      </c>
      <c r="L17" s="1">
        <f>SUM(K17:$K$102)</f>
        <v>163012789.05919158</v>
      </c>
      <c r="M17" s="1">
        <f t="shared" si="1"/>
        <v>269.19098479229291</v>
      </c>
      <c r="N17" s="1">
        <f>SUM(M17:$M$102)</f>
        <v>31654.154532398374</v>
      </c>
      <c r="O17" s="1">
        <f>SUM(N17:$N$102)</f>
        <v>1498603.8641274578</v>
      </c>
    </row>
    <row r="18" spans="1:16" x14ac:dyDescent="0.25">
      <c r="A18">
        <v>16</v>
      </c>
      <c r="B18" s="1">
        <f t="shared" si="2"/>
        <v>982038.07566707744</v>
      </c>
      <c r="C18" s="1">
        <f t="shared" si="3"/>
        <v>656.00143454561476</v>
      </c>
      <c r="D18" s="2">
        <v>6.6799999999999997E-4</v>
      </c>
      <c r="E18" s="3">
        <f t="shared" si="4"/>
        <v>0.999332</v>
      </c>
      <c r="F18" s="1">
        <f t="shared" si="5"/>
        <v>981710.07494980469</v>
      </c>
      <c r="G18" s="1">
        <f>SUM(F18:$F$102)</f>
        <v>58994890.452831618</v>
      </c>
      <c r="H18">
        <f t="shared" si="6"/>
        <v>6.6822318654431289E-4</v>
      </c>
      <c r="I18" s="1">
        <f t="shared" si="7"/>
        <v>60.07393390806935</v>
      </c>
      <c r="J18" s="1">
        <f t="shared" si="0"/>
        <v>449882.95749735052</v>
      </c>
      <c r="K18" s="1">
        <f>SUM(J18:$J$102)</f>
        <v>8788457.8729446307</v>
      </c>
      <c r="L18" s="1">
        <f>SUM(K18:$K$102)</f>
        <v>153751671.43034068</v>
      </c>
      <c r="M18" s="1">
        <f t="shared" si="1"/>
        <v>286.21125296022223</v>
      </c>
      <c r="N18" s="1">
        <f>SUM(M18:$M$102)</f>
        <v>31384.963547606079</v>
      </c>
      <c r="O18" s="1">
        <f>SUM(N18:$N$102)</f>
        <v>1466949.7095950597</v>
      </c>
    </row>
    <row r="19" spans="1:16" x14ac:dyDescent="0.25">
      <c r="A19">
        <v>17</v>
      </c>
      <c r="B19" s="1">
        <f t="shared" si="2"/>
        <v>981382.07423253183</v>
      </c>
      <c r="C19" s="1">
        <f t="shared" si="3"/>
        <v>716.40891418978572</v>
      </c>
      <c r="D19" s="2">
        <v>7.2999999999999996E-4</v>
      </c>
      <c r="E19" s="3">
        <f t="shared" si="4"/>
        <v>0.99926999999999999</v>
      </c>
      <c r="F19" s="1">
        <f t="shared" si="5"/>
        <v>981023.86977543694</v>
      </c>
      <c r="G19" s="1">
        <f>SUM(F19:$F$102)</f>
        <v>58013180.377881818</v>
      </c>
      <c r="H19">
        <f t="shared" si="6"/>
        <v>7.3026654728979901E-4</v>
      </c>
      <c r="I19" s="1">
        <f t="shared" si="7"/>
        <v>59.113755897008559</v>
      </c>
      <c r="J19" s="1">
        <f t="shared" si="0"/>
        <v>428173.74826832599</v>
      </c>
      <c r="K19" s="1">
        <f>SUM(J19:$J$102)</f>
        <v>8338574.915447277</v>
      </c>
      <c r="L19" s="1">
        <f>SUM(K19:$K$102)</f>
        <v>144963213.55739605</v>
      </c>
      <c r="M19" s="1">
        <f t="shared" si="1"/>
        <v>297.68270117704219</v>
      </c>
      <c r="N19" s="1">
        <f>SUM(M19:$M$102)</f>
        <v>31098.752294645856</v>
      </c>
      <c r="O19" s="1">
        <f>SUM(N19:$N$102)</f>
        <v>1435564.7460474533</v>
      </c>
    </row>
    <row r="20" spans="1:16" x14ac:dyDescent="0.25">
      <c r="A20">
        <v>18</v>
      </c>
      <c r="B20" s="1">
        <f t="shared" si="2"/>
        <v>980665.66531834204</v>
      </c>
      <c r="C20" s="1">
        <f t="shared" si="3"/>
        <v>739.42191165010445</v>
      </c>
      <c r="D20" s="2">
        <v>7.54E-4</v>
      </c>
      <c r="E20" s="3">
        <f t="shared" si="4"/>
        <v>0.99924599999999997</v>
      </c>
      <c r="F20" s="1">
        <f t="shared" si="5"/>
        <v>980295.95436251699</v>
      </c>
      <c r="G20" s="1">
        <f>SUM(F20:$F$102)</f>
        <v>57032156.508106373</v>
      </c>
      <c r="H20">
        <f t="shared" si="6"/>
        <v>7.5428436520575857E-4</v>
      </c>
      <c r="I20" s="1">
        <f t="shared" si="7"/>
        <v>58.156575196902288</v>
      </c>
      <c r="J20" s="1">
        <f t="shared" si="0"/>
        <v>407486.83945913339</v>
      </c>
      <c r="K20" s="1">
        <f>SUM(J20:$J$102)</f>
        <v>7910401.1671789521</v>
      </c>
      <c r="L20" s="1">
        <f>SUM(K20:$K$102)</f>
        <v>136624638.64194879</v>
      </c>
      <c r="M20" s="1">
        <f t="shared" si="1"/>
        <v>292.61435900211194</v>
      </c>
      <c r="N20" s="1">
        <f>SUM(M20:$M$102)</f>
        <v>30801.069593468812</v>
      </c>
      <c r="O20" s="1">
        <f>SUM(N20:$N$102)</f>
        <v>1404465.9937528076</v>
      </c>
    </row>
    <row r="21" spans="1:16" x14ac:dyDescent="0.25">
      <c r="A21">
        <v>19</v>
      </c>
      <c r="B21" s="1">
        <f t="shared" si="2"/>
        <v>979926.24340669194</v>
      </c>
      <c r="C21" s="1">
        <f t="shared" si="3"/>
        <v>741.80416625889484</v>
      </c>
      <c r="D21" s="2">
        <v>7.5699999999999997E-4</v>
      </c>
      <c r="E21" s="3">
        <f t="shared" si="4"/>
        <v>0.99924299999999999</v>
      </c>
      <c r="F21" s="1">
        <f t="shared" si="5"/>
        <v>979555.34132356243</v>
      </c>
      <c r="G21" s="1">
        <f>SUM(F21:$F$102)</f>
        <v>56051860.553743854</v>
      </c>
      <c r="H21">
        <f t="shared" si="6"/>
        <v>7.5728663299061666E-4</v>
      </c>
      <c r="I21" s="1">
        <f t="shared" si="7"/>
        <v>57.200081058020039</v>
      </c>
      <c r="J21" s="1">
        <f t="shared" si="0"/>
        <v>387790.0898877916</v>
      </c>
      <c r="K21" s="1">
        <f>SUM(J21:$J$102)</f>
        <v>7502914.3277198179</v>
      </c>
      <c r="L21" s="1">
        <f>SUM(K21:$K$102)</f>
        <v>128714237.47476991</v>
      </c>
      <c r="M21" s="1">
        <f t="shared" si="1"/>
        <v>279.57818861435214</v>
      </c>
      <c r="N21" s="1">
        <f>SUM(M21:$M$102)</f>
        <v>30508.455234466703</v>
      </c>
      <c r="O21" s="1">
        <f>SUM(N21:$N$102)</f>
        <v>1373664.9241593385</v>
      </c>
    </row>
    <row r="22" spans="1:16" x14ac:dyDescent="0.25">
      <c r="A22">
        <v>20</v>
      </c>
      <c r="B22" s="1">
        <f t="shared" si="2"/>
        <v>979184.43924043304</v>
      </c>
      <c r="C22" s="1">
        <f t="shared" si="3"/>
        <v>741.24262050504331</v>
      </c>
      <c r="D22" s="2">
        <v>7.5699999999999997E-4</v>
      </c>
      <c r="E22" s="3">
        <f t="shared" si="4"/>
        <v>0.99924299999999999</v>
      </c>
      <c r="F22" s="1">
        <f t="shared" si="5"/>
        <v>978813.81793018058</v>
      </c>
      <c r="G22" s="1">
        <f>SUM(F22:$F$102)</f>
        <v>55072305.212420292</v>
      </c>
      <c r="H22">
        <f t="shared" si="6"/>
        <v>7.5728663299062316E-4</v>
      </c>
      <c r="I22" s="1">
        <f t="shared" si="7"/>
        <v>56.243035535920733</v>
      </c>
      <c r="J22" s="1">
        <f t="shared" si="0"/>
        <v>369044.31694261573</v>
      </c>
      <c r="K22" s="1">
        <f>SUM(J22:$J$102)</f>
        <v>7115124.2378320256</v>
      </c>
      <c r="L22" s="1">
        <f>SUM(K22:$K$102)</f>
        <v>121211323.1470501</v>
      </c>
      <c r="M22" s="1">
        <f t="shared" si="1"/>
        <v>266.0633789767366</v>
      </c>
      <c r="N22" s="1">
        <f>SUM(M22:$M$102)</f>
        <v>30228.87704585235</v>
      </c>
      <c r="O22" s="1">
        <f>SUM(N22:$N$102)</f>
        <v>1343156.4689248719</v>
      </c>
    </row>
    <row r="23" spans="1:16" x14ac:dyDescent="0.25">
      <c r="A23">
        <v>21</v>
      </c>
      <c r="B23" s="1">
        <f t="shared" si="2"/>
        <v>978443.196619928</v>
      </c>
      <c r="C23" s="1">
        <f t="shared" si="3"/>
        <v>755.35814779053908</v>
      </c>
      <c r="D23" s="2">
        <v>7.7200000000000001E-4</v>
      </c>
      <c r="E23" s="3">
        <f t="shared" si="4"/>
        <v>0.99922800000000001</v>
      </c>
      <c r="F23" s="1">
        <f t="shared" si="5"/>
        <v>978065.51754603279</v>
      </c>
      <c r="G23" s="1">
        <f>SUM(F23:$F$102)</f>
        <v>54093491.394490108</v>
      </c>
      <c r="H23">
        <f t="shared" si="6"/>
        <v>7.722981070692823E-4</v>
      </c>
      <c r="I23" s="1">
        <f t="shared" si="7"/>
        <v>55.285264981511737</v>
      </c>
      <c r="J23" s="1">
        <f t="shared" si="0"/>
        <v>351204.71466160961</v>
      </c>
      <c r="K23" s="1">
        <f>SUM(J23:$J$102)</f>
        <v>6746079.9208894102</v>
      </c>
      <c r="L23" s="1">
        <f>SUM(K23:$K$102)</f>
        <v>114096198.90921809</v>
      </c>
      <c r="M23" s="1">
        <f t="shared" si="1"/>
        <v>258.21908544642514</v>
      </c>
      <c r="N23" s="1">
        <f>SUM(M23:$M$102)</f>
        <v>29962.813666875612</v>
      </c>
      <c r="O23" s="1">
        <f>SUM(N23:$N$102)</f>
        <v>1312927.5918790197</v>
      </c>
    </row>
    <row r="24" spans="1:16" x14ac:dyDescent="0.25">
      <c r="A24">
        <v>22</v>
      </c>
      <c r="B24" s="1">
        <f t="shared" si="2"/>
        <v>977687.83847213746</v>
      </c>
      <c r="C24" s="1">
        <f t="shared" si="3"/>
        <v>801.70402754715178</v>
      </c>
      <c r="D24" s="2">
        <v>8.1999999999999998E-4</v>
      </c>
      <c r="E24" s="3">
        <f t="shared" si="4"/>
        <v>0.99917999999999996</v>
      </c>
      <c r="F24" s="1">
        <f t="shared" si="5"/>
        <v>977286.98645836394</v>
      </c>
      <c r="G24" s="1">
        <f>SUM(F24:$F$102)</f>
        <v>53115425.876944073</v>
      </c>
      <c r="H24">
        <f t="shared" si="6"/>
        <v>8.2033633789853734E-4</v>
      </c>
      <c r="I24" s="1">
        <f t="shared" si="7"/>
        <v>54.327591882444978</v>
      </c>
      <c r="J24" s="1">
        <f t="shared" si="0"/>
        <v>334222.461544658</v>
      </c>
      <c r="K24" s="1">
        <f>SUM(J24:$J$102)</f>
        <v>6394875.2062278008</v>
      </c>
      <c r="L24" s="1">
        <f>SUM(K24:$K$102)</f>
        <v>107350118.98832867</v>
      </c>
      <c r="M24" s="1">
        <f t="shared" si="1"/>
        <v>261.01182711106588</v>
      </c>
      <c r="N24" s="1">
        <f>SUM(M24:$M$102)</f>
        <v>29704.594581429184</v>
      </c>
      <c r="O24" s="1">
        <f>SUM(N24:$N$102)</f>
        <v>1282964.7782121438</v>
      </c>
    </row>
    <row r="25" spans="1:16" x14ac:dyDescent="0.25">
      <c r="A25">
        <v>23</v>
      </c>
      <c r="B25" s="1">
        <f t="shared" si="2"/>
        <v>976886.13444459031</v>
      </c>
      <c r="C25" s="1">
        <f t="shared" si="3"/>
        <v>745.36412058118731</v>
      </c>
      <c r="D25" s="2">
        <v>7.6300000000000001E-4</v>
      </c>
      <c r="E25" s="3">
        <f t="shared" si="4"/>
        <v>0.99923700000000004</v>
      </c>
      <c r="F25" s="1">
        <f t="shared" si="5"/>
        <v>976513.45238429972</v>
      </c>
      <c r="G25" s="1">
        <f>SUM(F25:$F$102)</f>
        <v>52138138.890485719</v>
      </c>
      <c r="H25">
        <f t="shared" si="6"/>
        <v>7.632911955910821E-4</v>
      </c>
      <c r="I25" s="1">
        <f t="shared" si="7"/>
        <v>53.371766731164541</v>
      </c>
      <c r="J25" s="1">
        <f t="shared" si="0"/>
        <v>318046.0944058965</v>
      </c>
      <c r="K25" s="1">
        <f>SUM(J25:$J$102)</f>
        <v>6060652.7446831428</v>
      </c>
      <c r="L25" s="1">
        <f>SUM(K25:$K$102)</f>
        <v>100955243.78210089</v>
      </c>
      <c r="M25" s="1">
        <f t="shared" si="1"/>
        <v>231.11349526827391</v>
      </c>
      <c r="N25" s="1">
        <f>SUM(M25:$M$102)</f>
        <v>29443.582754318122</v>
      </c>
      <c r="O25" s="1">
        <f>SUM(N25:$N$102)</f>
        <v>1253260.1836307149</v>
      </c>
    </row>
    <row r="26" spans="1:16" x14ac:dyDescent="0.25">
      <c r="A26">
        <v>24</v>
      </c>
      <c r="B26" s="1">
        <f t="shared" si="2"/>
        <v>976140.77032400912</v>
      </c>
      <c r="C26" s="1">
        <f t="shared" si="3"/>
        <v>723.32031081011519</v>
      </c>
      <c r="D26" s="2">
        <v>7.4100000000000001E-4</v>
      </c>
      <c r="E26" s="3">
        <f t="shared" si="4"/>
        <v>0.99925900000000001</v>
      </c>
      <c r="F26" s="1">
        <f t="shared" si="5"/>
        <v>975779.11016860406</v>
      </c>
      <c r="G26" s="1">
        <f>SUM(F26:$F$102)</f>
        <v>51161625.438101418</v>
      </c>
      <c r="H26">
        <f t="shared" si="6"/>
        <v>7.4127464225498053E-4</v>
      </c>
      <c r="I26" s="1">
        <f t="shared" si="7"/>
        <v>52.412138692987291</v>
      </c>
      <c r="J26" s="1">
        <f t="shared" si="0"/>
        <v>302669.92879606172</v>
      </c>
      <c r="K26" s="1">
        <f>SUM(J26:$J$102)</f>
        <v>5742606.6502772467</v>
      </c>
      <c r="L26" s="1">
        <f>SUM(K26:$K$102)</f>
        <v>94894591.03741774</v>
      </c>
      <c r="M26" s="1">
        <f t="shared" si="1"/>
        <v>213.59849260751363</v>
      </c>
      <c r="N26" s="1">
        <f>SUM(M26:$M$102)</f>
        <v>29212.469259049845</v>
      </c>
      <c r="O26" s="1">
        <f>SUM(N26:$N$102)</f>
        <v>1223816.6008763968</v>
      </c>
    </row>
    <row r="27" spans="1:16" x14ac:dyDescent="0.25">
      <c r="A27">
        <v>25</v>
      </c>
      <c r="B27" s="1">
        <f t="shared" si="2"/>
        <v>975417.45001319901</v>
      </c>
      <c r="C27" s="1">
        <f t="shared" si="3"/>
        <v>715.95640830975026</v>
      </c>
      <c r="D27" s="2">
        <v>7.3399999999999995E-4</v>
      </c>
      <c r="E27" s="3">
        <f t="shared" si="4"/>
        <v>0.99926599999999999</v>
      </c>
      <c r="F27" s="1">
        <f t="shared" si="5"/>
        <v>975059.47180904413</v>
      </c>
      <c r="G27" s="1">
        <f>SUM(F27:$F$102)</f>
        <v>50185846.327932812</v>
      </c>
      <c r="H27">
        <f t="shared" si="6"/>
        <v>7.3426947689808533E-4</v>
      </c>
      <c r="I27" s="1">
        <f t="shared" si="7"/>
        <v>51.450634112864925</v>
      </c>
      <c r="J27" s="1">
        <f t="shared" si="0"/>
        <v>288043.4765512608</v>
      </c>
      <c r="K27" s="1">
        <f>SUM(J27:$J$102)</f>
        <v>5439936.7214811854</v>
      </c>
      <c r="L27" s="1">
        <f>SUM(K27:$K$102)</f>
        <v>89151984.387140483</v>
      </c>
      <c r="M27" s="1">
        <f t="shared" si="1"/>
        <v>201.35610646537503</v>
      </c>
      <c r="N27" s="1">
        <f>SUM(M27:$M$102)</f>
        <v>28998.870766442335</v>
      </c>
      <c r="O27" s="1">
        <f>SUM(N27:$N$102)</f>
        <v>1194604.1316173465</v>
      </c>
    </row>
    <row r="28" spans="1:16" x14ac:dyDescent="0.25">
      <c r="A28">
        <v>26</v>
      </c>
      <c r="B28" s="1">
        <f t="shared" si="2"/>
        <v>974701.49360488926</v>
      </c>
      <c r="C28" s="1">
        <f t="shared" si="3"/>
        <v>701.78507539560087</v>
      </c>
      <c r="D28" s="2">
        <v>7.2000000000000005E-4</v>
      </c>
      <c r="E28" s="3">
        <f t="shared" si="4"/>
        <v>0.99927999999999995</v>
      </c>
      <c r="F28" s="1">
        <f t="shared" si="5"/>
        <v>974350.60106719146</v>
      </c>
      <c r="G28" s="1">
        <f>SUM(F28:$F$102)</f>
        <v>49210786.856123768</v>
      </c>
      <c r="H28">
        <f t="shared" si="6"/>
        <v>7.2025929334568715E-4</v>
      </c>
      <c r="I28" s="1">
        <f t="shared" si="7"/>
        <v>50.488059348426674</v>
      </c>
      <c r="J28" s="1">
        <f t="shared" si="0"/>
        <v>274125.76441854489</v>
      </c>
      <c r="K28" s="1">
        <f>SUM(J28:$J$102)</f>
        <v>5151893.2449299255</v>
      </c>
      <c r="L28" s="1">
        <f>SUM(K28:$K$102)</f>
        <v>83712047.665659308</v>
      </c>
      <c r="M28" s="1">
        <f t="shared" si="1"/>
        <v>187.97195274416666</v>
      </c>
      <c r="N28" s="1">
        <f>SUM(M28:$M$102)</f>
        <v>28797.514659976958</v>
      </c>
      <c r="O28" s="1">
        <f>SUM(N28:$N$102)</f>
        <v>1165605.2608509043</v>
      </c>
    </row>
    <row r="29" spans="1:16" x14ac:dyDescent="0.25">
      <c r="A29">
        <v>27</v>
      </c>
      <c r="B29" s="1">
        <f t="shared" si="2"/>
        <v>973999.70852949366</v>
      </c>
      <c r="C29" s="1">
        <f t="shared" si="3"/>
        <v>662.3198018000694</v>
      </c>
      <c r="D29" s="2">
        <v>6.8000000000000005E-4</v>
      </c>
      <c r="E29" s="3">
        <f t="shared" si="4"/>
        <v>0.99931999999999999</v>
      </c>
      <c r="F29" s="1">
        <f t="shared" si="5"/>
        <v>973668.54862859356</v>
      </c>
      <c r="G29" s="1">
        <f>SUM(F29:$F$102)</f>
        <v>48236436.255056575</v>
      </c>
      <c r="H29">
        <f t="shared" si="6"/>
        <v>6.8023127863474993E-4</v>
      </c>
      <c r="I29" s="1">
        <f t="shared" si="7"/>
        <v>49.524076683638896</v>
      </c>
      <c r="J29" s="1">
        <f t="shared" si="0"/>
        <v>260884.18463634618</v>
      </c>
      <c r="K29" s="1">
        <f>SUM(J29:$J$102)</f>
        <v>4877767.4805113804</v>
      </c>
      <c r="L29" s="1">
        <f>SUM(K29:$K$102)</f>
        <v>78560154.420729369</v>
      </c>
      <c r="M29" s="1">
        <f t="shared" si="1"/>
        <v>168.95356719306579</v>
      </c>
      <c r="N29" s="1">
        <f>SUM(M29:$M$102)</f>
        <v>28609.542707232788</v>
      </c>
      <c r="O29" s="1">
        <f>SUM(N29:$N$102)</f>
        <v>1136807.7461909277</v>
      </c>
    </row>
    <row r="30" spans="1:16" x14ac:dyDescent="0.25">
      <c r="A30">
        <v>28</v>
      </c>
      <c r="B30" s="1">
        <f t="shared" si="2"/>
        <v>973337.38872769359</v>
      </c>
      <c r="C30" s="1">
        <f t="shared" si="3"/>
        <v>743.6297649879707</v>
      </c>
      <c r="D30" s="2">
        <v>7.6400000000000003E-4</v>
      </c>
      <c r="E30" s="3">
        <f t="shared" si="4"/>
        <v>0.99923600000000001</v>
      </c>
      <c r="F30" s="1">
        <f t="shared" si="5"/>
        <v>972965.57384519954</v>
      </c>
      <c r="G30" s="1">
        <f>SUM(F30:$F$102)</f>
        <v>47262767.706427976</v>
      </c>
      <c r="H30">
        <f t="shared" si="6"/>
        <v>7.6429195952855313E-4</v>
      </c>
      <c r="I30" s="1">
        <f t="shared" si="7"/>
        <v>48.557435739942051</v>
      </c>
      <c r="J30" s="1">
        <f t="shared" si="0"/>
        <v>248292.17465789855</v>
      </c>
      <c r="K30" s="1">
        <f>SUM(J30:$J$102)</f>
        <v>4616883.2958750343</v>
      </c>
      <c r="L30" s="1">
        <f>SUM(K30:$K$102)</f>
        <v>73682386.940217987</v>
      </c>
      <c r="M30" s="1">
        <f t="shared" si="1"/>
        <v>180.66211565584547</v>
      </c>
      <c r="N30" s="1">
        <f>SUM(M30:$M$102)</f>
        <v>28440.58914003973</v>
      </c>
      <c r="O30" s="1">
        <f>SUM(N30:$N$102)</f>
        <v>1108198.2034836949</v>
      </c>
    </row>
    <row r="31" spans="1:16" x14ac:dyDescent="0.25">
      <c r="A31">
        <v>29</v>
      </c>
      <c r="B31" s="1">
        <f t="shared" si="2"/>
        <v>972593.75896270561</v>
      </c>
      <c r="C31" s="1">
        <f t="shared" si="3"/>
        <v>792.66391355462838</v>
      </c>
      <c r="D31" s="2">
        <v>8.1499999999999997E-4</v>
      </c>
      <c r="E31" s="3">
        <f t="shared" si="4"/>
        <v>0.99918499999999999</v>
      </c>
      <c r="F31" s="1">
        <f t="shared" si="5"/>
        <v>972197.42700592824</v>
      </c>
      <c r="G31" s="1">
        <f>SUM(F31:$F$102)</f>
        <v>46289802.132582776</v>
      </c>
      <c r="H31">
        <f t="shared" si="6"/>
        <v>8.1533224789103961E-4</v>
      </c>
      <c r="I31" s="1">
        <f t="shared" si="7"/>
        <v>47.594179693227673</v>
      </c>
      <c r="J31" s="1">
        <f t="shared" si="0"/>
        <v>236288.07565377132</v>
      </c>
      <c r="K31" s="1">
        <f>SUM(J31:$J$102)</f>
        <v>4368591.1212171344</v>
      </c>
      <c r="L31" s="1">
        <f>SUM(K31:$K$102)</f>
        <v>69065503.644342944</v>
      </c>
      <c r="M31" s="1">
        <f t="shared" si="1"/>
        <v>183.40455395983739</v>
      </c>
      <c r="N31" s="1">
        <f>SUM(M31:$M$102)</f>
        <v>28259.927024383884</v>
      </c>
      <c r="O31" s="1">
        <f>SUM(N31:$N$102)</f>
        <v>1079757.6143436551</v>
      </c>
    </row>
    <row r="32" spans="1:16" x14ac:dyDescent="0.25">
      <c r="A32">
        <v>30</v>
      </c>
      <c r="B32" s="1">
        <f t="shared" si="2"/>
        <v>971801.09504915099</v>
      </c>
      <c r="C32" s="1">
        <f t="shared" si="3"/>
        <v>839.63614612247329</v>
      </c>
      <c r="D32" s="2">
        <v>8.6399999999999997E-4</v>
      </c>
      <c r="E32" s="3">
        <f t="shared" si="4"/>
        <v>0.99913600000000002</v>
      </c>
      <c r="F32" s="1">
        <f t="shared" si="5"/>
        <v>971381.27697608969</v>
      </c>
      <c r="G32" s="1">
        <f>SUM(F32:$F$102)</f>
        <v>45317604.705576852</v>
      </c>
      <c r="H32">
        <f t="shared" si="6"/>
        <v>8.6437340931283025E-4</v>
      </c>
      <c r="I32" s="1">
        <f t="shared" si="7"/>
        <v>46.632592756324087</v>
      </c>
      <c r="J32" s="1">
        <f t="shared" si="0"/>
        <v>224852.85797344139</v>
      </c>
      <c r="K32" s="1">
        <f>SUM(J32:$J$102)</f>
        <v>4132303.0455633597</v>
      </c>
      <c r="L32" s="1">
        <f>SUM(K32:$K$102)</f>
        <v>64696912.523125835</v>
      </c>
      <c r="M32" s="1">
        <f t="shared" si="1"/>
        <v>185.02178027529044</v>
      </c>
      <c r="N32" s="1">
        <f>SUM(M32:$M$102)</f>
        <v>28076.522470424046</v>
      </c>
      <c r="O32" s="1">
        <f>SUM(N32:$N$102)</f>
        <v>1051497.687319271</v>
      </c>
      <c r="P32">
        <f>K32/J32</f>
        <v>18.377809749927433</v>
      </c>
    </row>
    <row r="33" spans="1:15" x14ac:dyDescent="0.25">
      <c r="A33">
        <v>31</v>
      </c>
      <c r="B33" s="1">
        <f t="shared" si="2"/>
        <v>970961.45890302851</v>
      </c>
      <c r="C33" s="1">
        <f t="shared" si="3"/>
        <v>911.73280990996864</v>
      </c>
      <c r="D33" s="2">
        <v>9.3899999999999995E-4</v>
      </c>
      <c r="E33" s="3">
        <f t="shared" si="4"/>
        <v>0.99906099999999998</v>
      </c>
      <c r="F33" s="1">
        <f t="shared" si="5"/>
        <v>970505.59249807359</v>
      </c>
      <c r="G33" s="1">
        <f>SUM(F33:$F$102)</f>
        <v>44346223.428600758</v>
      </c>
      <c r="H33">
        <f t="shared" si="6"/>
        <v>9.39441067581255E-4</v>
      </c>
      <c r="I33" s="1">
        <f t="shared" si="7"/>
        <v>45.672485784041491</v>
      </c>
      <c r="J33" s="1">
        <f t="shared" si="0"/>
        <v>213960.55724204986</v>
      </c>
      <c r="K33" s="1">
        <f>SUM(J33:$J$102)</f>
        <v>3907450.1875899187</v>
      </c>
      <c r="L33" s="1">
        <f>SUM(K33:$K$102)</f>
        <v>60564609.47756248</v>
      </c>
      <c r="M33" s="1">
        <f t="shared" si="1"/>
        <v>191.34186976218123</v>
      </c>
      <c r="N33" s="1">
        <f>SUM(M33:$M$102)</f>
        <v>27891.50069014875</v>
      </c>
      <c r="O33" s="1">
        <f>SUM(N33:$N$102)</f>
        <v>1023421.1648488472</v>
      </c>
    </row>
    <row r="34" spans="1:15" x14ac:dyDescent="0.25">
      <c r="A34">
        <v>32</v>
      </c>
      <c r="B34" s="1">
        <f t="shared" si="2"/>
        <v>970049.72609311854</v>
      </c>
      <c r="C34" s="1">
        <f t="shared" si="3"/>
        <v>1037.9532069195993</v>
      </c>
      <c r="D34" s="2">
        <v>1.07E-3</v>
      </c>
      <c r="E34" s="3">
        <f t="shared" si="4"/>
        <v>0.99892999999999998</v>
      </c>
      <c r="F34" s="1">
        <f t="shared" si="5"/>
        <v>969530.74948965875</v>
      </c>
      <c r="G34" s="1">
        <f>SUM(F34:$F$102)</f>
        <v>43375717.836102687</v>
      </c>
      <c r="H34">
        <f t="shared" si="6"/>
        <v>1.0705727564246485E-3</v>
      </c>
      <c r="I34" s="1">
        <f t="shared" si="7"/>
        <v>44.714942615157128</v>
      </c>
      <c r="J34" s="1">
        <f t="shared" ref="J34:J65" si="8">($R$5^A34)*B34</f>
        <v>203580.61740838052</v>
      </c>
      <c r="K34" s="1">
        <f>SUM(J34:$J$102)</f>
        <v>3693489.6303478684</v>
      </c>
      <c r="L34" s="1">
        <f>SUM(K34:$K$102)</f>
        <v>56657159.289972566</v>
      </c>
      <c r="M34" s="1">
        <f t="shared" ref="M34:M65" si="9">(($R$5^(1+A34))*C34)</f>
        <v>207.45834345424694</v>
      </c>
      <c r="N34" s="1">
        <f>SUM(M34:$M$102)</f>
        <v>27700.158820386569</v>
      </c>
      <c r="O34" s="1">
        <f>SUM(N34:$N$102)</f>
        <v>995529.66415869852</v>
      </c>
    </row>
    <row r="35" spans="1:15" x14ac:dyDescent="0.25">
      <c r="A35">
        <v>33</v>
      </c>
      <c r="B35" s="1">
        <f t="shared" si="2"/>
        <v>969011.77288619895</v>
      </c>
      <c r="C35" s="1">
        <f t="shared" si="3"/>
        <v>1050.4087618086487</v>
      </c>
      <c r="D35" s="2">
        <v>1.0839999999999999E-3</v>
      </c>
      <c r="E35" s="3">
        <f t="shared" si="4"/>
        <v>0.99891600000000003</v>
      </c>
      <c r="F35" s="1">
        <f t="shared" si="5"/>
        <v>968486.56850529462</v>
      </c>
      <c r="G35" s="1">
        <f>SUM(F35:$F$102)</f>
        <v>42406187.086613022</v>
      </c>
      <c r="H35">
        <f t="shared" si="6"/>
        <v>1.0845878466128735E-3</v>
      </c>
      <c r="I35" s="1">
        <f t="shared" si="7"/>
        <v>43.762303279666362</v>
      </c>
      <c r="J35" s="1">
        <f t="shared" si="8"/>
        <v>193678.84395024148</v>
      </c>
      <c r="K35" s="1">
        <f>SUM(J35:$J$102)</f>
        <v>3489909.012939488</v>
      </c>
      <c r="L35" s="1">
        <f>SUM(K35:$K$102)</f>
        <v>52963669.659624688</v>
      </c>
      <c r="M35" s="1">
        <f t="shared" si="9"/>
        <v>199.95034937339389</v>
      </c>
      <c r="N35" s="1">
        <f>SUM(M35:$M$102)</f>
        <v>27492.700476932318</v>
      </c>
      <c r="O35" s="1">
        <f>SUM(N35:$N$102)</f>
        <v>967829.50533831201</v>
      </c>
    </row>
    <row r="36" spans="1:15" x14ac:dyDescent="0.25">
      <c r="A36">
        <v>34</v>
      </c>
      <c r="B36" s="1">
        <f t="shared" si="2"/>
        <v>967961.3641243903</v>
      </c>
      <c r="C36" s="1">
        <f t="shared" si="3"/>
        <v>1062.8215778085869</v>
      </c>
      <c r="D36" s="2">
        <v>1.098E-3</v>
      </c>
      <c r="E36" s="3">
        <f t="shared" si="4"/>
        <v>0.99890199999999996</v>
      </c>
      <c r="F36" s="1">
        <f t="shared" si="5"/>
        <v>967429.953335486</v>
      </c>
      <c r="G36" s="1">
        <f>SUM(F36:$F$102)</f>
        <v>41437700.518107727</v>
      </c>
      <c r="H36">
        <f t="shared" si="6"/>
        <v>1.0986031331200895E-3</v>
      </c>
      <c r="I36" s="1">
        <f t="shared" si="7"/>
        <v>42.809250507216184</v>
      </c>
      <c r="J36" s="1">
        <f t="shared" si="8"/>
        <v>184256.09150799946</v>
      </c>
      <c r="K36" s="1">
        <f>SUM(J36:$J$102)</f>
        <v>3296230.1689892462</v>
      </c>
      <c r="L36" s="1">
        <f>SUM(K36:$K$102)</f>
        <v>49473760.646685198</v>
      </c>
      <c r="M36" s="1">
        <f t="shared" si="9"/>
        <v>192.67922711979486</v>
      </c>
      <c r="N36" s="1">
        <f>SUM(M36:$M$102)</f>
        <v>27292.750127558931</v>
      </c>
      <c r="O36" s="1">
        <f>SUM(N36:$N$102)</f>
        <v>940336.80486137967</v>
      </c>
    </row>
    <row r="37" spans="1:15" x14ac:dyDescent="0.25">
      <c r="A37">
        <v>35</v>
      </c>
      <c r="B37" s="1">
        <f t="shared" si="2"/>
        <v>966898.54254658171</v>
      </c>
      <c r="C37" s="1">
        <f t="shared" si="3"/>
        <v>1075.1911793118343</v>
      </c>
      <c r="D37" s="2">
        <v>1.1119999999999999E-3</v>
      </c>
      <c r="E37" s="3">
        <f t="shared" si="4"/>
        <v>0.998888</v>
      </c>
      <c r="F37" s="1">
        <f t="shared" si="5"/>
        <v>966360.94695692579</v>
      </c>
      <c r="G37" s="1">
        <f>SUM(F37:$F$102)</f>
        <v>40470270.564772248</v>
      </c>
      <c r="H37">
        <f t="shared" si="6"/>
        <v>1.1126186159505051E-3</v>
      </c>
      <c r="I37" s="1">
        <f t="shared" si="7"/>
        <v>41.855757128543338</v>
      </c>
      <c r="J37" s="1">
        <f t="shared" si="8"/>
        <v>175289.31268526064</v>
      </c>
      <c r="K37" s="1">
        <f>SUM(J37:$J$102)</f>
        <v>3111974.0774812475</v>
      </c>
      <c r="L37" s="1">
        <f>SUM(K37:$K$102)</f>
        <v>46177530.477695949</v>
      </c>
      <c r="M37" s="1">
        <f t="shared" si="9"/>
        <v>185.63972924382497</v>
      </c>
      <c r="N37" s="1">
        <f>SUM(M37:$M$102)</f>
        <v>27100.070900439132</v>
      </c>
      <c r="O37" s="1">
        <f>SUM(N37:$N$102)</f>
        <v>913044.05473382061</v>
      </c>
    </row>
    <row r="38" spans="1:15" x14ac:dyDescent="0.25">
      <c r="A38">
        <v>36</v>
      </c>
      <c r="B38" s="1">
        <f t="shared" si="2"/>
        <v>965823.35136726988</v>
      </c>
      <c r="C38" s="1">
        <f t="shared" si="3"/>
        <v>1087.5170936394716</v>
      </c>
      <c r="D38" s="2">
        <v>1.126E-3</v>
      </c>
      <c r="E38" s="3">
        <f t="shared" si="4"/>
        <v>0.99887400000000004</v>
      </c>
      <c r="F38" s="1">
        <f t="shared" si="5"/>
        <v>965279.5928204502</v>
      </c>
      <c r="G38" s="1">
        <f>SUM(F38:$F$102)</f>
        <v>39503909.617815323</v>
      </c>
      <c r="H38">
        <f t="shared" si="6"/>
        <v>1.1266342951080689E-3</v>
      </c>
      <c r="I38" s="1">
        <f t="shared" si="7"/>
        <v>40.901795925612618</v>
      </c>
      <c r="J38" s="1">
        <f t="shared" si="8"/>
        <v>166756.56282814723</v>
      </c>
      <c r="K38" s="1">
        <f>SUM(J38:$J$102)</f>
        <v>2936684.7647959865</v>
      </c>
      <c r="L38" s="1">
        <f>SUM(K38:$K$102)</f>
        <v>43065556.400214694</v>
      </c>
      <c r="M38" s="1">
        <f t="shared" si="9"/>
        <v>178.82656166141044</v>
      </c>
      <c r="N38" s="1">
        <f>SUM(M38:$M$102)</f>
        <v>26914.431171195312</v>
      </c>
      <c r="O38" s="1">
        <f>SUM(N38:$N$102)</f>
        <v>885943.98383338156</v>
      </c>
    </row>
    <row r="39" spans="1:15" x14ac:dyDescent="0.25">
      <c r="A39">
        <v>37</v>
      </c>
      <c r="B39" s="1">
        <f t="shared" si="2"/>
        <v>964735.8342736304</v>
      </c>
      <c r="C39" s="1">
        <f t="shared" si="3"/>
        <v>1099.7988510719733</v>
      </c>
      <c r="D39" s="2">
        <v>1.14E-3</v>
      </c>
      <c r="E39" s="3">
        <f t="shared" si="4"/>
        <v>0.99885999999999997</v>
      </c>
      <c r="F39" s="1">
        <f t="shared" si="5"/>
        <v>964185.93484809436</v>
      </c>
      <c r="G39" s="1">
        <f>SUM(F39:$F$102)</f>
        <v>38538630.024994865</v>
      </c>
      <c r="H39">
        <f t="shared" si="6"/>
        <v>1.1406501705972765E-3</v>
      </c>
      <c r="I39" s="1">
        <f t="shared" si="7"/>
        <v>39.947339630036026</v>
      </c>
      <c r="J39" s="1">
        <f t="shared" si="8"/>
        <v>158636.94756038359</v>
      </c>
      <c r="K39" s="1">
        <f>SUM(J39:$J$102)</f>
        <v>2769928.2019678396</v>
      </c>
      <c r="L39" s="1">
        <f>SUM(K39:$K$102)</f>
        <v>40128871.635418706</v>
      </c>
      <c r="M39" s="1">
        <f t="shared" si="9"/>
        <v>172.2344002084219</v>
      </c>
      <c r="N39" s="1">
        <f>SUM(M39:$M$102)</f>
        <v>26735.604609533897</v>
      </c>
      <c r="O39" s="1">
        <f>SUM(N39:$N$102)</f>
        <v>859029.55266218632</v>
      </c>
    </row>
    <row r="40" spans="1:15" x14ac:dyDescent="0.25">
      <c r="A40">
        <v>38</v>
      </c>
      <c r="B40" s="1">
        <f t="shared" si="2"/>
        <v>963636.03542255843</v>
      </c>
      <c r="C40" s="1">
        <f t="shared" si="3"/>
        <v>1278.745019005728</v>
      </c>
      <c r="D40" s="2">
        <v>1.3270000000000001E-3</v>
      </c>
      <c r="E40" s="3">
        <f t="shared" si="4"/>
        <v>0.99867300000000003</v>
      </c>
      <c r="F40" s="1">
        <f t="shared" si="5"/>
        <v>962996.66291305562</v>
      </c>
      <c r="G40" s="1">
        <f>SUM(F40:$F$102)</f>
        <v>37574444.09014678</v>
      </c>
      <c r="H40">
        <f t="shared" si="6"/>
        <v>1.3278810490760546E-3</v>
      </c>
      <c r="I40" s="1">
        <f t="shared" si="7"/>
        <v>38.992360921486537</v>
      </c>
      <c r="J40" s="1">
        <f t="shared" si="8"/>
        <v>150910.57280015689</v>
      </c>
      <c r="K40" s="1">
        <f>SUM(J40:$J$102)</f>
        <v>2611291.2544074566</v>
      </c>
      <c r="L40" s="1">
        <f>SUM(K40:$K$102)</f>
        <v>37358943.43345087</v>
      </c>
      <c r="M40" s="1">
        <f t="shared" si="9"/>
        <v>190.72221914838767</v>
      </c>
      <c r="N40" s="1">
        <f>SUM(M40:$M$102)</f>
        <v>26563.370209325476</v>
      </c>
      <c r="O40" s="1">
        <f>SUM(N40:$N$102)</f>
        <v>832293.9480526523</v>
      </c>
    </row>
    <row r="41" spans="1:15" x14ac:dyDescent="0.25">
      <c r="A41">
        <v>39</v>
      </c>
      <c r="B41" s="1">
        <f t="shared" si="2"/>
        <v>962357.2904035527</v>
      </c>
      <c r="C41" s="1">
        <f t="shared" si="3"/>
        <v>1451.2347939285683</v>
      </c>
      <c r="D41" s="2">
        <v>1.508E-3</v>
      </c>
      <c r="E41" s="3">
        <f t="shared" si="4"/>
        <v>0.99849200000000005</v>
      </c>
      <c r="F41" s="1">
        <f t="shared" si="5"/>
        <v>961631.67300658836</v>
      </c>
      <c r="G41" s="1">
        <f>SUM(F41:$F$102)</f>
        <v>36611447.427233726</v>
      </c>
      <c r="H41">
        <f t="shared" si="6"/>
        <v>1.5091378899690479E-3</v>
      </c>
      <c r="I41" s="1">
        <f t="shared" si="7"/>
        <v>38.043508156810624</v>
      </c>
      <c r="J41" s="1">
        <f t="shared" si="8"/>
        <v>143533.63282862006</v>
      </c>
      <c r="K41" s="1">
        <f>SUM(J41:$J$102)</f>
        <v>2460380.6816072999</v>
      </c>
      <c r="L41" s="1">
        <f>SUM(K41:$K$102)</f>
        <v>34747652.179043412</v>
      </c>
      <c r="M41" s="1">
        <f t="shared" si="9"/>
        <v>206.14163648148633</v>
      </c>
      <c r="N41" s="1">
        <f>SUM(M41:$M$102)</f>
        <v>26372.647990177087</v>
      </c>
      <c r="O41" s="1">
        <f>SUM(N41:$N$102)</f>
        <v>805730.57784332673</v>
      </c>
    </row>
    <row r="42" spans="1:15" x14ac:dyDescent="0.25">
      <c r="A42">
        <v>40</v>
      </c>
      <c r="B42" s="1">
        <f t="shared" si="2"/>
        <v>960906.05560962413</v>
      </c>
      <c r="C42" s="1">
        <f t="shared" si="3"/>
        <v>1626.8139521470293</v>
      </c>
      <c r="D42" s="2">
        <v>1.6930000000000001E-3</v>
      </c>
      <c r="E42" s="3">
        <f t="shared" si="4"/>
        <v>0.99830700000000006</v>
      </c>
      <c r="F42" s="1">
        <f t="shared" si="5"/>
        <v>960092.64863355062</v>
      </c>
      <c r="G42" s="1">
        <f>SUM(F42:$F$102)</f>
        <v>35649815.754227139</v>
      </c>
      <c r="H42">
        <f t="shared" si="6"/>
        <v>1.6944343386676151E-3</v>
      </c>
      <c r="I42" s="1">
        <f t="shared" si="7"/>
        <v>37.100209272393393</v>
      </c>
      <c r="J42" s="1">
        <f t="shared" si="8"/>
        <v>136492.55629553762</v>
      </c>
      <c r="K42" s="1">
        <f>SUM(J42:$J$102)</f>
        <v>2316847.0487786797</v>
      </c>
      <c r="L42" s="1">
        <f>SUM(K42:$K$102)</f>
        <v>32287271.497436114</v>
      </c>
      <c r="M42" s="1">
        <f t="shared" si="9"/>
        <v>220.07799791270102</v>
      </c>
      <c r="N42" s="1">
        <f>SUM(M42:$M$102)</f>
        <v>26166.5063536956</v>
      </c>
      <c r="O42" s="1">
        <f>SUM(N42:$N$102)</f>
        <v>779357.92985314981</v>
      </c>
    </row>
    <row r="43" spans="1:15" x14ac:dyDescent="0.25">
      <c r="A43">
        <v>41</v>
      </c>
      <c r="B43" s="1">
        <f t="shared" si="2"/>
        <v>959279.24165747711</v>
      </c>
      <c r="C43" s="1">
        <f t="shared" si="3"/>
        <v>1815.9156044576084</v>
      </c>
      <c r="D43" s="2">
        <v>1.8929999999999999E-3</v>
      </c>
      <c r="E43" s="3">
        <f t="shared" si="4"/>
        <v>0.99810699999999997</v>
      </c>
      <c r="F43" s="1">
        <f t="shared" si="5"/>
        <v>958371.28385524824</v>
      </c>
      <c r="G43" s="1">
        <f>SUM(F43:$F$102)</f>
        <v>34689723.105593584</v>
      </c>
      <c r="H43">
        <f t="shared" si="6"/>
        <v>1.894793421973903E-3</v>
      </c>
      <c r="I43" s="1">
        <f t="shared" si="7"/>
        <v>36.162278509910664</v>
      </c>
      <c r="J43" s="1">
        <f t="shared" si="8"/>
        <v>129772.83275974217</v>
      </c>
      <c r="K43" s="1">
        <f>SUM(J43:$J$102)</f>
        <v>2180354.4924831418</v>
      </c>
      <c r="L43" s="1">
        <f>SUM(K43:$K$102)</f>
        <v>29970424.448657431</v>
      </c>
      <c r="M43" s="1">
        <f t="shared" si="9"/>
        <v>233.96187848970712</v>
      </c>
      <c r="N43" s="1">
        <f>SUM(M43:$M$102)</f>
        <v>25946.428355782904</v>
      </c>
      <c r="O43" s="1">
        <f>SUM(N43:$N$102)</f>
        <v>753191.42349945428</v>
      </c>
    </row>
    <row r="44" spans="1:15" x14ac:dyDescent="0.25">
      <c r="A44">
        <v>42</v>
      </c>
      <c r="B44" s="1">
        <f t="shared" si="2"/>
        <v>957463.3260530195</v>
      </c>
      <c r="C44" s="1">
        <f t="shared" si="3"/>
        <v>2029.8222512324573</v>
      </c>
      <c r="D44" s="2">
        <v>2.1199999999999999E-3</v>
      </c>
      <c r="E44" s="3">
        <f t="shared" si="4"/>
        <v>0.99787999999999999</v>
      </c>
      <c r="F44" s="1">
        <f t="shared" si="5"/>
        <v>956448.41492740321</v>
      </c>
      <c r="G44" s="1">
        <f>SUM(F44:$F$102)</f>
        <v>33731351.82173834</v>
      </c>
      <c r="H44">
        <f t="shared" si="6"/>
        <v>2.122249584559692E-3</v>
      </c>
      <c r="I44" s="1">
        <f t="shared" si="7"/>
        <v>35.229915239458968</v>
      </c>
      <c r="J44" s="1">
        <f t="shared" si="8"/>
        <v>123359.21217840759</v>
      </c>
      <c r="K44" s="1">
        <f>SUM(J44:$J$102)</f>
        <v>2050581.6597234001</v>
      </c>
      <c r="L44" s="1">
        <f>SUM(K44:$K$102)</f>
        <v>27790069.956174292</v>
      </c>
      <c r="M44" s="1">
        <f t="shared" si="9"/>
        <v>249.06812363641077</v>
      </c>
      <c r="N44" s="1">
        <f>SUM(M44:$M$102)</f>
        <v>25712.466477293194</v>
      </c>
      <c r="O44" s="1">
        <f>SUM(N44:$N$102)</f>
        <v>727244.99514367129</v>
      </c>
    </row>
    <row r="45" spans="1:15" x14ac:dyDescent="0.25">
      <c r="A45">
        <v>43</v>
      </c>
      <c r="B45" s="1">
        <f t="shared" si="2"/>
        <v>955433.50380178704</v>
      </c>
      <c r="C45" s="1">
        <f t="shared" si="3"/>
        <v>2154.502551073092</v>
      </c>
      <c r="D45" s="2">
        <v>2.2550000000000001E-3</v>
      </c>
      <c r="E45" s="3">
        <f t="shared" si="4"/>
        <v>0.99774499999999999</v>
      </c>
      <c r="F45" s="1">
        <f t="shared" si="5"/>
        <v>954356.25252625044</v>
      </c>
      <c r="G45" s="1">
        <f>SUM(F45:$F$102)</f>
        <v>32774903.406810924</v>
      </c>
      <c r="H45">
        <f t="shared" si="6"/>
        <v>2.2575453824187426E-3</v>
      </c>
      <c r="I45" s="1">
        <f t="shared" si="7"/>
        <v>34.303699081511759</v>
      </c>
      <c r="J45" s="1">
        <f t="shared" si="8"/>
        <v>117235.89585579939</v>
      </c>
      <c r="K45" s="1">
        <f>SUM(J45:$J$102)</f>
        <v>1927222.4475449924</v>
      </c>
      <c r="L45" s="1">
        <f>SUM(K45:$K$102)</f>
        <v>25739488.296450891</v>
      </c>
      <c r="M45" s="1">
        <f t="shared" si="9"/>
        <v>251.778043004605</v>
      </c>
      <c r="N45" s="1">
        <f>SUM(M45:$M$102)</f>
        <v>25463.398353656783</v>
      </c>
      <c r="O45" s="1">
        <f>SUM(N45:$N$102)</f>
        <v>701532.52866637812</v>
      </c>
    </row>
    <row r="46" spans="1:15" x14ac:dyDescent="0.25">
      <c r="A46">
        <v>44</v>
      </c>
      <c r="B46" s="1">
        <f t="shared" si="2"/>
        <v>953279.00125071395</v>
      </c>
      <c r="C46" s="1">
        <f t="shared" si="3"/>
        <v>2271.6638599805301</v>
      </c>
      <c r="D46" s="2">
        <v>2.3830000000000001E-3</v>
      </c>
      <c r="E46" s="3">
        <f t="shared" si="4"/>
        <v>0.99761699999999998</v>
      </c>
      <c r="F46" s="1">
        <f t="shared" si="5"/>
        <v>952143.16932072374</v>
      </c>
      <c r="G46" s="1">
        <f>SUM(F46:$F$102)</f>
        <v>31820547.154284678</v>
      </c>
      <c r="H46">
        <f t="shared" si="6"/>
        <v>2.3858427316148017E-3</v>
      </c>
      <c r="I46" s="1">
        <f t="shared" si="7"/>
        <v>33.380098704089491</v>
      </c>
      <c r="J46" s="1">
        <f t="shared" si="8"/>
        <v>111401.45610537576</v>
      </c>
      <c r="K46" s="1">
        <f>SUM(J46:$J$102)</f>
        <v>1809986.5516891931</v>
      </c>
      <c r="L46" s="1">
        <f>SUM(K46:$K$102)</f>
        <v>23812265.848905899</v>
      </c>
      <c r="M46" s="1">
        <f t="shared" si="9"/>
        <v>252.82825704678061</v>
      </c>
      <c r="N46" s="1">
        <f>SUM(M46:$M$102)</f>
        <v>25211.620310652179</v>
      </c>
      <c r="O46" s="1">
        <f>SUM(N46:$N$102)</f>
        <v>676069.13031272148</v>
      </c>
    </row>
    <row r="47" spans="1:15" x14ac:dyDescent="0.25">
      <c r="A47">
        <v>45</v>
      </c>
      <c r="B47" s="1">
        <f t="shared" si="2"/>
        <v>951007.33739073342</v>
      </c>
      <c r="C47" s="1">
        <f t="shared" si="3"/>
        <v>2418.4116589846089</v>
      </c>
      <c r="D47" s="2">
        <v>2.5430000000000001E-3</v>
      </c>
      <c r="E47" s="3">
        <f t="shared" si="4"/>
        <v>0.99745700000000004</v>
      </c>
      <c r="F47" s="1">
        <f t="shared" si="5"/>
        <v>949798.13156124111</v>
      </c>
      <c r="G47" s="1">
        <f>SUM(F47:$F$102)</f>
        <v>30868403.984963953</v>
      </c>
      <c r="H47">
        <f t="shared" si="6"/>
        <v>2.5462375410333963E-3</v>
      </c>
      <c r="I47" s="1">
        <f t="shared" si="7"/>
        <v>32.458639141162884</v>
      </c>
      <c r="J47" s="1">
        <f t="shared" si="8"/>
        <v>105843.79660521584</v>
      </c>
      <c r="K47" s="1">
        <f>SUM(J47:$J$102)</f>
        <v>1698585.0955838175</v>
      </c>
      <c r="L47" s="1">
        <f>SUM(K47:$K$102)</f>
        <v>22002279.297216706</v>
      </c>
      <c r="M47" s="1">
        <f t="shared" si="9"/>
        <v>256.34359501624851</v>
      </c>
      <c r="N47" s="1">
        <f>SUM(M47:$M$102)</f>
        <v>24958.792053605401</v>
      </c>
      <c r="O47" s="1">
        <f>SUM(N47:$N$102)</f>
        <v>650857.51000206929</v>
      </c>
    </row>
    <row r="48" spans="1:15" x14ac:dyDescent="0.25">
      <c r="A48">
        <v>46</v>
      </c>
      <c r="B48" s="1">
        <f t="shared" si="2"/>
        <v>948588.92573174881</v>
      </c>
      <c r="C48" s="1">
        <f t="shared" si="3"/>
        <v>2632.3342689055717</v>
      </c>
      <c r="D48" s="2">
        <v>2.7750000000000001E-3</v>
      </c>
      <c r="E48" s="3">
        <f t="shared" si="4"/>
        <v>0.99722500000000003</v>
      </c>
      <c r="F48" s="1">
        <f t="shared" si="5"/>
        <v>947272.75859729596</v>
      </c>
      <c r="G48" s="1">
        <f>SUM(F48:$F$102)</f>
        <v>29918605.853402711</v>
      </c>
      <c r="H48">
        <f t="shared" si="6"/>
        <v>2.778855662231313E-3</v>
      </c>
      <c r="I48" s="1">
        <f t="shared" si="7"/>
        <v>31.540117159098468</v>
      </c>
      <c r="J48" s="1">
        <f t="shared" si="8"/>
        <v>100547.27221947502</v>
      </c>
      <c r="K48" s="1">
        <f>SUM(J48:$J$102)</f>
        <v>1592741.2989786016</v>
      </c>
      <c r="L48" s="1">
        <f>SUM(K48:$K$102)</f>
        <v>20303694.201632887</v>
      </c>
      <c r="M48" s="1">
        <f t="shared" si="9"/>
        <v>265.73207658003798</v>
      </c>
      <c r="N48" s="1">
        <f>SUM(M48:$M$102)</f>
        <v>24702.448458589148</v>
      </c>
      <c r="O48" s="1">
        <f>SUM(N48:$N$102)</f>
        <v>625898.71794846386</v>
      </c>
    </row>
    <row r="49" spans="1:15" x14ac:dyDescent="0.25">
      <c r="A49">
        <v>47</v>
      </c>
      <c r="B49" s="1">
        <f t="shared" si="2"/>
        <v>945956.59146284324</v>
      </c>
      <c r="C49" s="1">
        <f t="shared" si="3"/>
        <v>2951.3845653641038</v>
      </c>
      <c r="D49" s="2">
        <v>3.1199999999999999E-3</v>
      </c>
      <c r="E49" s="3">
        <f t="shared" si="4"/>
        <v>0.99687999999999999</v>
      </c>
      <c r="F49" s="1">
        <f t="shared" si="5"/>
        <v>944480.89918016118</v>
      </c>
      <c r="G49" s="1">
        <f>SUM(F49:$F$102)</f>
        <v>28971333.094805419</v>
      </c>
      <c r="H49">
        <f t="shared" si="6"/>
        <v>3.1248748046953595E-3</v>
      </c>
      <c r="I49" s="1">
        <f t="shared" si="7"/>
        <v>30.626493177666493</v>
      </c>
      <c r="J49" s="1">
        <f t="shared" si="8"/>
        <v>95493.574799110458</v>
      </c>
      <c r="K49" s="1">
        <f>SUM(J49:$J$102)</f>
        <v>1492194.0267591267</v>
      </c>
      <c r="L49" s="1">
        <f>SUM(K49:$K$102)</f>
        <v>18710952.902654283</v>
      </c>
      <c r="M49" s="1">
        <f t="shared" si="9"/>
        <v>283.75233654593137</v>
      </c>
      <c r="N49" s="1">
        <f>SUM(M49:$M$102)</f>
        <v>24436.716382009115</v>
      </c>
      <c r="O49" s="1">
        <f>SUM(N49:$N$102)</f>
        <v>601196.26948987471</v>
      </c>
    </row>
    <row r="50" spans="1:15" x14ac:dyDescent="0.25">
      <c r="A50">
        <v>48</v>
      </c>
      <c r="B50" s="1">
        <f t="shared" si="2"/>
        <v>943005.20689747913</v>
      </c>
      <c r="C50" s="1">
        <f t="shared" si="3"/>
        <v>2996.8705475202296</v>
      </c>
      <c r="D50" s="2">
        <v>3.1779999999999998E-3</v>
      </c>
      <c r="E50" s="3">
        <f t="shared" si="4"/>
        <v>0.99682199999999999</v>
      </c>
      <c r="F50" s="1">
        <f t="shared" si="5"/>
        <v>941506.77162371902</v>
      </c>
      <c r="G50" s="1">
        <f>SUM(F50:$F$102)</f>
        <v>28026852.195625253</v>
      </c>
      <c r="H50">
        <f t="shared" si="6"/>
        <v>3.1830578789697264E-3</v>
      </c>
      <c r="I50" s="1">
        <f t="shared" si="7"/>
        <v>29.72078201756128</v>
      </c>
      <c r="J50" s="1">
        <f t="shared" si="8"/>
        <v>90662.509376892602</v>
      </c>
      <c r="K50" s="1">
        <f>SUM(J50:$J$102)</f>
        <v>1396700.451960016</v>
      </c>
      <c r="L50" s="1">
        <f>SUM(K50:$K$102)</f>
        <v>17218758.875895161</v>
      </c>
      <c r="M50" s="1">
        <f t="shared" si="9"/>
        <v>274.40519504739865</v>
      </c>
      <c r="N50" s="1">
        <f>SUM(M50:$M$102)</f>
        <v>24152.964045463181</v>
      </c>
      <c r="O50" s="1">
        <f>SUM(N50:$N$102)</f>
        <v>576759.55310786562</v>
      </c>
    </row>
    <row r="51" spans="1:15" x14ac:dyDescent="0.25">
      <c r="A51">
        <v>49</v>
      </c>
      <c r="B51" s="1">
        <f t="shared" si="2"/>
        <v>940008.3363499589</v>
      </c>
      <c r="C51" s="1">
        <f t="shared" si="3"/>
        <v>3059.7271348191425</v>
      </c>
      <c r="D51" s="2">
        <v>3.2550000000000001E-3</v>
      </c>
      <c r="E51" s="3">
        <f t="shared" si="4"/>
        <v>0.99674499999999999</v>
      </c>
      <c r="F51" s="1">
        <f t="shared" si="5"/>
        <v>938478.47278254933</v>
      </c>
      <c r="G51" s="1">
        <f>SUM(F51:$F$102)</f>
        <v>27085345.424001537</v>
      </c>
      <c r="H51">
        <f t="shared" si="6"/>
        <v>3.2603061482563154E-3</v>
      </c>
      <c r="I51" s="1">
        <f t="shared" si="7"/>
        <v>28.813941724361307</v>
      </c>
      <c r="J51" s="1">
        <f t="shared" si="8"/>
        <v>86070.84183056459</v>
      </c>
      <c r="K51" s="1">
        <f>SUM(J51:$J$102)</f>
        <v>1306037.9425831237</v>
      </c>
      <c r="L51" s="1">
        <f>SUM(K51:$K$102)</f>
        <v>15822058.423935141</v>
      </c>
      <c r="M51" s="1">
        <f t="shared" si="9"/>
        <v>266.81960967475254</v>
      </c>
      <c r="N51" s="1">
        <f>SUM(M51:$M$102)</f>
        <v>23878.558850415786</v>
      </c>
      <c r="O51" s="1">
        <f>SUM(N51:$N$102)</f>
        <v>552606.58906240249</v>
      </c>
    </row>
    <row r="52" spans="1:15" x14ac:dyDescent="0.25">
      <c r="A52">
        <v>50</v>
      </c>
      <c r="B52" s="1">
        <f t="shared" si="2"/>
        <v>936948.60921513976</v>
      </c>
      <c r="C52" s="1">
        <f t="shared" si="3"/>
        <v>3233.4096504014451</v>
      </c>
      <c r="D52" s="2">
        <v>3.4510000000000001E-3</v>
      </c>
      <c r="E52" s="3">
        <f t="shared" si="4"/>
        <v>0.99654900000000002</v>
      </c>
      <c r="F52" s="1">
        <f t="shared" si="5"/>
        <v>935331.90438993904</v>
      </c>
      <c r="G52" s="1">
        <f>SUM(F52:$F$102)</f>
        <v>26146866.951218985</v>
      </c>
      <c r="H52">
        <f t="shared" si="6"/>
        <v>3.4569649930955839E-3</v>
      </c>
      <c r="I52" s="1">
        <f t="shared" si="7"/>
        <v>27.906404571240692</v>
      </c>
      <c r="J52" s="1">
        <f t="shared" si="8"/>
        <v>81705.410705148664</v>
      </c>
      <c r="K52" s="1">
        <f>SUM(J52:$J$102)</f>
        <v>1219967.100752559</v>
      </c>
      <c r="L52" s="1">
        <f>SUM(K52:$K$102)</f>
        <v>14516020.48135202</v>
      </c>
      <c r="M52" s="1">
        <f t="shared" si="9"/>
        <v>268.53844985092178</v>
      </c>
      <c r="N52" s="1">
        <f>SUM(M52:$M$102)</f>
        <v>23611.73924074103</v>
      </c>
      <c r="O52" s="1">
        <f>SUM(N52:$N$102)</f>
        <v>528728.03021198674</v>
      </c>
    </row>
    <row r="53" spans="1:15" x14ac:dyDescent="0.25">
      <c r="A53">
        <v>51</v>
      </c>
      <c r="B53" s="1">
        <f t="shared" si="2"/>
        <v>933715.19956473832</v>
      </c>
      <c r="C53" s="1">
        <f t="shared" si="3"/>
        <v>3608.8092463177163</v>
      </c>
      <c r="D53" s="2">
        <v>3.8649999999999999E-3</v>
      </c>
      <c r="E53" s="3">
        <f t="shared" si="4"/>
        <v>0.99613499999999999</v>
      </c>
      <c r="F53" s="1">
        <f t="shared" si="5"/>
        <v>931910.79494157946</v>
      </c>
      <c r="G53" s="1">
        <f>SUM(F53:$F$102)</f>
        <v>25211535.046829045</v>
      </c>
      <c r="H53">
        <f t="shared" si="6"/>
        <v>3.872483574507739E-3</v>
      </c>
      <c r="I53" s="1">
        <f t="shared" si="7"/>
        <v>27.001311597563884</v>
      </c>
      <c r="J53" s="1">
        <f t="shared" si="8"/>
        <v>77546.138412195432</v>
      </c>
      <c r="K53" s="1">
        <f>SUM(J53:$J$102)</f>
        <v>1138261.6900474103</v>
      </c>
      <c r="L53" s="1">
        <f>SUM(K53:$K$102)</f>
        <v>13296053.380599461</v>
      </c>
      <c r="M53" s="1">
        <f t="shared" si="9"/>
        <v>285.44364282203389</v>
      </c>
      <c r="N53" s="1">
        <f>SUM(M53:$M$102)</f>
        <v>23343.200790890107</v>
      </c>
      <c r="O53" s="1">
        <f>SUM(N53:$N$102)</f>
        <v>505116.2909712455</v>
      </c>
    </row>
    <row r="54" spans="1:15" x14ac:dyDescent="0.25">
      <c r="A54">
        <v>52</v>
      </c>
      <c r="B54" s="1">
        <f t="shared" si="2"/>
        <v>930106.3903184206</v>
      </c>
      <c r="C54" s="1">
        <f t="shared" si="3"/>
        <v>4209.661522581242</v>
      </c>
      <c r="D54" s="2">
        <v>4.5259999999999996E-3</v>
      </c>
      <c r="E54" s="3">
        <f t="shared" si="4"/>
        <v>0.99547399999999997</v>
      </c>
      <c r="F54" s="1">
        <f t="shared" si="5"/>
        <v>928001.55955712998</v>
      </c>
      <c r="G54" s="1">
        <f>SUM(F54:$F$102)</f>
        <v>24279624.251887463</v>
      </c>
      <c r="H54">
        <f t="shared" si="6"/>
        <v>4.5362655689826833E-3</v>
      </c>
      <c r="I54" s="1">
        <f t="shared" si="7"/>
        <v>26.104136585466708</v>
      </c>
      <c r="J54" s="1">
        <f t="shared" si="8"/>
        <v>73568.021511649815</v>
      </c>
      <c r="K54" s="1">
        <f>SUM(J54:$J$102)</f>
        <v>1060715.5516352151</v>
      </c>
      <c r="L54" s="1">
        <f>SUM(K54:$K$102)</f>
        <v>12157791.690552052</v>
      </c>
      <c r="M54" s="1">
        <f t="shared" si="9"/>
        <v>317.11320510641195</v>
      </c>
      <c r="N54" s="1">
        <f>SUM(M54:$M$102)</f>
        <v>23057.757148068078</v>
      </c>
      <c r="O54" s="1">
        <f>SUM(N54:$N$102)</f>
        <v>481773.09018035542</v>
      </c>
    </row>
    <row r="55" spans="1:15" x14ac:dyDescent="0.25">
      <c r="A55">
        <v>53</v>
      </c>
      <c r="B55" s="1">
        <f t="shared" si="2"/>
        <v>925896.72879583936</v>
      </c>
      <c r="C55" s="1">
        <f t="shared" si="3"/>
        <v>4712.8143495708937</v>
      </c>
      <c r="D55" s="2">
        <v>5.0899999999999999E-3</v>
      </c>
      <c r="E55" s="3">
        <f t="shared" si="4"/>
        <v>0.99490999999999996</v>
      </c>
      <c r="F55" s="1">
        <f t="shared" si="5"/>
        <v>923540.32162105385</v>
      </c>
      <c r="G55" s="1">
        <f>SUM(F55:$F$102)</f>
        <v>23351622.692330334</v>
      </c>
      <c r="H55">
        <f t="shared" si="6"/>
        <v>5.1029871021751137E-3</v>
      </c>
      <c r="I55" s="1">
        <f t="shared" si="7"/>
        <v>25.22054778474045</v>
      </c>
      <c r="J55" s="1">
        <f t="shared" si="8"/>
        <v>69747.669186941013</v>
      </c>
      <c r="K55" s="1">
        <f>SUM(J55:$J$102)</f>
        <v>987147.53012356558</v>
      </c>
      <c r="L55" s="1">
        <f>SUM(K55:$K$102)</f>
        <v>11097076.138916837</v>
      </c>
      <c r="M55" s="1">
        <f t="shared" si="9"/>
        <v>338.11012967765248</v>
      </c>
      <c r="N55" s="1">
        <f>SUM(M55:$M$102)</f>
        <v>22740.643942961666</v>
      </c>
      <c r="O55" s="1">
        <f>SUM(N55:$N$102)</f>
        <v>458715.33303228737</v>
      </c>
    </row>
    <row r="56" spans="1:15" x14ac:dyDescent="0.25">
      <c r="A56">
        <v>54</v>
      </c>
      <c r="B56" s="1">
        <f t="shared" si="2"/>
        <v>921183.91444626846</v>
      </c>
      <c r="C56" s="1">
        <f t="shared" si="3"/>
        <v>5373.2657729650382</v>
      </c>
      <c r="D56" s="2">
        <v>5.8329999999999996E-3</v>
      </c>
      <c r="E56" s="3">
        <f t="shared" si="4"/>
        <v>0.99416700000000002</v>
      </c>
      <c r="F56" s="1">
        <f t="shared" si="5"/>
        <v>918497.28155978594</v>
      </c>
      <c r="G56" s="1">
        <f>SUM(F56:$F$102)</f>
        <v>22428082.370709281</v>
      </c>
      <c r="H56">
        <f t="shared" si="6"/>
        <v>5.8500617049624731E-3</v>
      </c>
      <c r="I56" s="1">
        <f t="shared" si="7"/>
        <v>24.347019112020636</v>
      </c>
      <c r="J56" s="1">
        <f t="shared" si="8"/>
        <v>66088.241476932832</v>
      </c>
      <c r="K56" s="1">
        <f>SUM(J56:$J$102)</f>
        <v>917399.86093662446</v>
      </c>
      <c r="L56" s="1">
        <f>SUM(K56:$K$102)</f>
        <v>10109928.608793272</v>
      </c>
      <c r="M56" s="1">
        <f t="shared" si="9"/>
        <v>367.13591669994844</v>
      </c>
      <c r="N56" s="1">
        <f>SUM(M56:$M$102)</f>
        <v>22402.533813284012</v>
      </c>
      <c r="O56" s="1">
        <f>SUM(N56:$N$102)</f>
        <v>435974.68908932566</v>
      </c>
    </row>
    <row r="57" spans="1:15" x14ac:dyDescent="0.25">
      <c r="A57">
        <v>55</v>
      </c>
      <c r="B57" s="1">
        <f t="shared" si="2"/>
        <v>915810.64867330343</v>
      </c>
      <c r="C57" s="1">
        <f t="shared" si="3"/>
        <v>6136.8471567598172</v>
      </c>
      <c r="D57" s="2">
        <v>6.7010000000000004E-3</v>
      </c>
      <c r="E57" s="3">
        <f t="shared" si="4"/>
        <v>0.99329900000000004</v>
      </c>
      <c r="F57" s="1">
        <f t="shared" si="5"/>
        <v>912742.22509492352</v>
      </c>
      <c r="G57" s="1">
        <f>SUM(F57:$F$102)</f>
        <v>21509585.089149497</v>
      </c>
      <c r="H57">
        <f t="shared" si="6"/>
        <v>6.7235271778092621E-3</v>
      </c>
      <c r="I57" s="1">
        <f t="shared" si="7"/>
        <v>23.486934903311656</v>
      </c>
      <c r="J57" s="1">
        <f t="shared" si="8"/>
        <v>62574.046442283689</v>
      </c>
      <c r="K57" s="1">
        <f>SUM(J57:$J$102)</f>
        <v>851311.61945969169</v>
      </c>
      <c r="L57" s="1">
        <f>SUM(K57:$K$102)</f>
        <v>9192528.7478566486</v>
      </c>
      <c r="M57" s="1">
        <f t="shared" si="9"/>
        <v>399.34160496166078</v>
      </c>
      <c r="N57" s="1">
        <f>SUM(M57:$M$102)</f>
        <v>22035.397896584065</v>
      </c>
      <c r="O57" s="1">
        <f>SUM(N57:$N$102)</f>
        <v>413572.15527604159</v>
      </c>
    </row>
    <row r="58" spans="1:15" x14ac:dyDescent="0.25">
      <c r="A58">
        <v>56</v>
      </c>
      <c r="B58" s="1">
        <f t="shared" si="2"/>
        <v>909673.80151654361</v>
      </c>
      <c r="C58" s="1">
        <f t="shared" si="3"/>
        <v>6948.0884959833929</v>
      </c>
      <c r="D58" s="2">
        <v>7.6379999999999998E-3</v>
      </c>
      <c r="E58" s="3">
        <f t="shared" si="4"/>
        <v>0.99236199999999997</v>
      </c>
      <c r="F58" s="1">
        <f t="shared" si="5"/>
        <v>906199.75726855197</v>
      </c>
      <c r="G58" s="1">
        <f>SUM(F58:$F$102)</f>
        <v>20596842.864054568</v>
      </c>
      <c r="H58">
        <f t="shared" si="6"/>
        <v>7.6672813474660088E-3</v>
      </c>
      <c r="I58" s="1">
        <f t="shared" si="7"/>
        <v>22.64200950903167</v>
      </c>
      <c r="J58" s="1">
        <f t="shared" si="8"/>
        <v>59194.988340070435</v>
      </c>
      <c r="K58" s="1">
        <f>SUM(J58:$J$102)</f>
        <v>788737.57301740802</v>
      </c>
      <c r="L58" s="1">
        <f>SUM(K58:$K$102)</f>
        <v>8341217.12839696</v>
      </c>
      <c r="M58" s="1">
        <f t="shared" si="9"/>
        <v>430.60125803948586</v>
      </c>
      <c r="N58" s="1">
        <f>SUM(M58:$M$102)</f>
        <v>21636.056291622401</v>
      </c>
      <c r="O58" s="1">
        <f>SUM(N58:$N$102)</f>
        <v>391536.75737945747</v>
      </c>
    </row>
    <row r="59" spans="1:15" x14ac:dyDescent="0.25">
      <c r="A59">
        <v>57</v>
      </c>
      <c r="B59" s="1">
        <f t="shared" si="2"/>
        <v>902725.71302056022</v>
      </c>
      <c r="C59" s="1">
        <f t="shared" si="3"/>
        <v>7753.5111491335556</v>
      </c>
      <c r="D59" s="2">
        <v>8.5889999999999994E-3</v>
      </c>
      <c r="E59" s="3">
        <f t="shared" si="4"/>
        <v>0.99141100000000004</v>
      </c>
      <c r="F59" s="1">
        <f t="shared" si="5"/>
        <v>898848.95744599344</v>
      </c>
      <c r="G59" s="1">
        <f>SUM(F59:$F$102)</f>
        <v>19690643.106786013</v>
      </c>
      <c r="H59">
        <f t="shared" si="6"/>
        <v>8.626044548312688E-3</v>
      </c>
      <c r="I59" s="1">
        <f t="shared" si="7"/>
        <v>21.812431863605887</v>
      </c>
      <c r="J59" s="1">
        <f t="shared" si="8"/>
        <v>55945.578113456169</v>
      </c>
      <c r="K59" s="1">
        <f>SUM(J59:$J$102)</f>
        <v>729542.58467733744</v>
      </c>
      <c r="L59" s="1">
        <f>SUM(K59:$K$102)</f>
        <v>7552479.5553795518</v>
      </c>
      <c r="M59" s="1">
        <f t="shared" si="9"/>
        <v>457.63482896806926</v>
      </c>
      <c r="N59" s="1">
        <f>SUM(M59:$M$102)</f>
        <v>21205.455033582912</v>
      </c>
      <c r="O59" s="1">
        <f>SUM(N59:$N$102)</f>
        <v>369900.70108783507</v>
      </c>
    </row>
    <row r="60" spans="1:15" x14ac:dyDescent="0.25">
      <c r="A60">
        <v>58</v>
      </c>
      <c r="B60" s="1">
        <f t="shared" si="2"/>
        <v>894972.20187142666</v>
      </c>
      <c r="C60" s="1">
        <f t="shared" si="3"/>
        <v>9402.5779528612038</v>
      </c>
      <c r="D60" s="2">
        <v>1.0506E-2</v>
      </c>
      <c r="E60" s="3">
        <f t="shared" si="4"/>
        <v>0.98949399999999998</v>
      </c>
      <c r="F60" s="1">
        <f t="shared" si="5"/>
        <v>890270.91289499612</v>
      </c>
      <c r="G60" s="1">
        <f>SUM(F60:$F$102)</f>
        <v>18791794.149340019</v>
      </c>
      <c r="H60">
        <f t="shared" si="6"/>
        <v>1.0561479451559034E-2</v>
      </c>
      <c r="I60" s="1">
        <f t="shared" si="7"/>
        <v>20.997070199549821</v>
      </c>
      <c r="J60" s="1">
        <f t="shared" si="8"/>
        <v>52823.868136228273</v>
      </c>
      <c r="K60" s="1">
        <f>SUM(J60:$J$102)</f>
        <v>673597.00656388141</v>
      </c>
      <c r="L60" s="1">
        <f>SUM(K60:$K$102)</f>
        <v>6822936.9707022151</v>
      </c>
      <c r="M60" s="1">
        <f t="shared" si="9"/>
        <v>528.54053203734657</v>
      </c>
      <c r="N60" s="1">
        <f>SUM(M60:$M$102)</f>
        <v>20747.820204614844</v>
      </c>
      <c r="O60" s="1">
        <f>SUM(N60:$N$102)</f>
        <v>348695.24605425214</v>
      </c>
    </row>
    <row r="61" spans="1:15" x14ac:dyDescent="0.25">
      <c r="A61">
        <v>59</v>
      </c>
      <c r="B61" s="1">
        <f t="shared" si="2"/>
        <v>885569.62391856546</v>
      </c>
      <c r="C61" s="1">
        <f t="shared" si="3"/>
        <v>10962.466374487965</v>
      </c>
      <c r="D61" s="2">
        <v>1.2378999999999999E-2</v>
      </c>
      <c r="E61" s="3">
        <f t="shared" si="4"/>
        <v>0.98762099999999997</v>
      </c>
      <c r="F61" s="1">
        <f t="shared" si="5"/>
        <v>880088.39073132141</v>
      </c>
      <c r="G61" s="1">
        <f>SUM(F61:$F$102)</f>
        <v>17901523.236445025</v>
      </c>
      <c r="H61">
        <f t="shared" si="6"/>
        <v>1.2456097012458664E-2</v>
      </c>
      <c r="I61" s="1">
        <f t="shared" si="7"/>
        <v>20.214698825409574</v>
      </c>
      <c r="J61" s="1">
        <f t="shared" si="8"/>
        <v>49779.905311989576</v>
      </c>
      <c r="K61" s="1">
        <f>SUM(J61:$J$102)</f>
        <v>620773.13842765323</v>
      </c>
      <c r="L61" s="1">
        <f>SUM(K61:$K$102)</f>
        <v>6149339.9641383318</v>
      </c>
      <c r="M61" s="1">
        <f t="shared" si="9"/>
        <v>586.88137891154418</v>
      </c>
      <c r="N61" s="1">
        <f>SUM(M61:$M$102)</f>
        <v>20219.279672577497</v>
      </c>
      <c r="O61" s="1">
        <f>SUM(N61:$N$102)</f>
        <v>327947.42584963731</v>
      </c>
    </row>
    <row r="62" spans="1:15" x14ac:dyDescent="0.25">
      <c r="A62">
        <v>60</v>
      </c>
      <c r="B62" s="1">
        <f t="shared" si="2"/>
        <v>874607.15754407749</v>
      </c>
      <c r="C62" s="1">
        <f t="shared" si="3"/>
        <v>12423.794672913617</v>
      </c>
      <c r="D62" s="2">
        <v>1.4205000000000001E-2</v>
      </c>
      <c r="E62" s="3">
        <f t="shared" si="4"/>
        <v>0.98579499999999998</v>
      </c>
      <c r="F62" s="1">
        <f t="shared" si="5"/>
        <v>868395.26020762068</v>
      </c>
      <c r="G62" s="1">
        <f>SUM(F62:$F$102)</f>
        <v>17021434.845713701</v>
      </c>
      <c r="H62">
        <f t="shared" si="6"/>
        <v>1.4306612716821219E-2</v>
      </c>
      <c r="I62" s="1">
        <f t="shared" si="7"/>
        <v>19.461806022157866</v>
      </c>
      <c r="J62" s="1">
        <f t="shared" si="8"/>
        <v>46822.55225155472</v>
      </c>
      <c r="K62" s="1">
        <f>SUM(J62:$J$102)</f>
        <v>570993.23311566364</v>
      </c>
      <c r="L62" s="1">
        <f>SUM(K62:$K$102)</f>
        <v>5528566.8257106785</v>
      </c>
      <c r="M62" s="1">
        <f t="shared" si="9"/>
        <v>633.44224260317571</v>
      </c>
      <c r="N62" s="1">
        <f>SUM(M62:$M$102)</f>
        <v>19632.398293665956</v>
      </c>
      <c r="O62" s="1">
        <f>SUM(N62:$N$102)</f>
        <v>307728.1461770598</v>
      </c>
    </row>
    <row r="63" spans="1:15" x14ac:dyDescent="0.25">
      <c r="A63">
        <v>61</v>
      </c>
      <c r="B63" s="1">
        <f t="shared" si="2"/>
        <v>862183.36287116387</v>
      </c>
      <c r="C63" s="1">
        <f t="shared" si="3"/>
        <v>13777.69013868121</v>
      </c>
      <c r="D63" s="2">
        <v>1.5980000000000001E-2</v>
      </c>
      <c r="E63" s="3">
        <f t="shared" si="4"/>
        <v>0.98402000000000001</v>
      </c>
      <c r="F63" s="1">
        <f t="shared" si="5"/>
        <v>855294.51780182333</v>
      </c>
      <c r="G63" s="1">
        <f>SUM(F63:$F$102)</f>
        <v>16153039.585506089</v>
      </c>
      <c r="H63">
        <f t="shared" si="6"/>
        <v>1.6108708581566728E-2</v>
      </c>
      <c r="I63" s="1">
        <f t="shared" si="7"/>
        <v>18.735039761976758</v>
      </c>
      <c r="J63" s="1">
        <f t="shared" si="8"/>
        <v>43959.46466363941</v>
      </c>
      <c r="K63" s="1">
        <f>SUM(J63:$J$102)</f>
        <v>524170.68086410902</v>
      </c>
      <c r="L63" s="1">
        <f>SUM(K63:$K$102)</f>
        <v>4957573.5925950147</v>
      </c>
      <c r="M63" s="1">
        <f t="shared" si="9"/>
        <v>669.0211860237697</v>
      </c>
      <c r="N63" s="1">
        <f>SUM(M63:$M$102)</f>
        <v>18998.956051062778</v>
      </c>
      <c r="O63" s="1">
        <f>SUM(N63:$N$102)</f>
        <v>288095.74788339384</v>
      </c>
    </row>
    <row r="64" spans="1:15" x14ac:dyDescent="0.25">
      <c r="A64">
        <v>62</v>
      </c>
      <c r="B64" s="1">
        <f t="shared" si="2"/>
        <v>848405.67273248266</v>
      </c>
      <c r="C64" s="1">
        <f t="shared" si="3"/>
        <v>15016.780407364946</v>
      </c>
      <c r="D64" s="2">
        <v>1.77E-2</v>
      </c>
      <c r="E64" s="3">
        <f t="shared" si="4"/>
        <v>0.98229999999999995</v>
      </c>
      <c r="F64" s="1">
        <f t="shared" si="5"/>
        <v>840897.28252880019</v>
      </c>
      <c r="G64" s="1">
        <f>SUM(F64:$F$102)</f>
        <v>15297745.067704266</v>
      </c>
      <c r="H64">
        <f t="shared" si="6"/>
        <v>1.7858043686626648E-2</v>
      </c>
      <c r="I64" s="1">
        <f t="shared" si="7"/>
        <v>18.031167823801098</v>
      </c>
      <c r="J64" s="1">
        <f t="shared" si="8"/>
        <v>41197.135636489948</v>
      </c>
      <c r="K64" s="1">
        <f>SUM(J64:$J$102)</f>
        <v>480211.21620046959</v>
      </c>
      <c r="L64" s="1">
        <f>SUM(K64:$K$102)</f>
        <v>4433402.911730906</v>
      </c>
      <c r="M64" s="1">
        <f t="shared" si="9"/>
        <v>694.46600072940225</v>
      </c>
      <c r="N64" s="1">
        <f>SUM(M64:$M$102)</f>
        <v>18329.934865039013</v>
      </c>
      <c r="O64" s="1">
        <f>SUM(N64:$N$102)</f>
        <v>269096.79183233099</v>
      </c>
    </row>
    <row r="65" spans="1:15" x14ac:dyDescent="0.25">
      <c r="A65">
        <v>63</v>
      </c>
      <c r="B65" s="1">
        <f t="shared" si="2"/>
        <v>833388.89232511772</v>
      </c>
      <c r="C65" s="1">
        <f t="shared" si="3"/>
        <v>15706.047064759186</v>
      </c>
      <c r="D65" s="2">
        <v>1.8846000000000002E-2</v>
      </c>
      <c r="E65" s="3">
        <f t="shared" si="4"/>
        <v>0.98115399999999997</v>
      </c>
      <c r="F65" s="1">
        <f t="shared" si="5"/>
        <v>825535.86879273807</v>
      </c>
      <c r="G65" s="1">
        <f>SUM(F65:$F$102)</f>
        <v>14456847.785175463</v>
      </c>
      <c r="H65">
        <f t="shared" si="6"/>
        <v>1.9025275167907214E-2</v>
      </c>
      <c r="I65" s="1">
        <f t="shared" si="7"/>
        <v>17.347060799960396</v>
      </c>
      <c r="J65" s="1">
        <f t="shared" si="8"/>
        <v>38540.901272118172</v>
      </c>
      <c r="K65" s="1">
        <f>SUM(J65:$J$102)</f>
        <v>439014.08056397963</v>
      </c>
      <c r="L65" s="1">
        <f>SUM(K65:$K$102)</f>
        <v>3953191.695530436</v>
      </c>
      <c r="M65" s="1">
        <f t="shared" si="9"/>
        <v>691.75411940413323</v>
      </c>
      <c r="N65" s="1">
        <f>SUM(M65:$M$102)</f>
        <v>17635.468864309609</v>
      </c>
      <c r="O65" s="1">
        <f>SUM(N65:$N$102)</f>
        <v>250766.85696729206</v>
      </c>
    </row>
    <row r="66" spans="1:15" x14ac:dyDescent="0.25">
      <c r="A66">
        <v>64</v>
      </c>
      <c r="B66" s="1">
        <f t="shared" si="2"/>
        <v>817682.84526035853</v>
      </c>
      <c r="C66" s="1">
        <f t="shared" si="3"/>
        <v>16706.895894359681</v>
      </c>
      <c r="D66" s="2">
        <v>2.0431999999999999E-2</v>
      </c>
      <c r="E66" s="3">
        <f t="shared" si="4"/>
        <v>0.97956799999999999</v>
      </c>
      <c r="F66" s="1">
        <f t="shared" si="5"/>
        <v>809329.39731317875</v>
      </c>
      <c r="G66" s="1">
        <f>SUM(F66:$F$102)</f>
        <v>13631311.916382726</v>
      </c>
      <c r="H66">
        <f t="shared" si="6"/>
        <v>2.0642887741163771E-2</v>
      </c>
      <c r="I66" s="1">
        <f t="shared" si="7"/>
        <v>16.670659040232621</v>
      </c>
      <c r="J66" s="1">
        <f t="shared" ref="J66:J102" si="10">($R$5^A66)*B66</f>
        <v>36013.866139756028</v>
      </c>
      <c r="K66" s="1">
        <f>SUM(J66:$J$102)</f>
        <v>400473.17929186142</v>
      </c>
      <c r="L66" s="1">
        <f>SUM(K66:$K$102)</f>
        <v>3514177.6149664563</v>
      </c>
      <c r="M66" s="1">
        <f t="shared" ref="M66:M102" si="11">(($R$5^(1+A66))*C66)</f>
        <v>700.79553615952068</v>
      </c>
      <c r="N66" s="1">
        <f>SUM(M66:$M$102)</f>
        <v>16943.714744905479</v>
      </c>
      <c r="O66" s="1">
        <f>SUM(N66:$N$102)</f>
        <v>233131.3881029824</v>
      </c>
    </row>
    <row r="67" spans="1:15" x14ac:dyDescent="0.25">
      <c r="A67">
        <v>65</v>
      </c>
      <c r="B67" s="1">
        <f t="shared" ref="B67:B102" si="12">B66*E66</f>
        <v>800975.94936599885</v>
      </c>
      <c r="C67" s="1">
        <f t="shared" ref="C67:C102" si="13">B67-B68</f>
        <v>17585.426968330517</v>
      </c>
      <c r="D67" s="2">
        <v>2.1954999999999999E-2</v>
      </c>
      <c r="E67" s="3">
        <f t="shared" ref="E67:E102" si="14">1-D67</f>
        <v>0.97804500000000005</v>
      </c>
      <c r="F67" s="1">
        <f t="shared" ref="F67:F102" si="15">(B67+B68)/2</f>
        <v>792183.23588183359</v>
      </c>
      <c r="G67" s="1">
        <f>SUM(F67:$F$102)</f>
        <v>12821982.519069547</v>
      </c>
      <c r="H67">
        <f t="shared" ref="H67:H102" si="16">C67/F67</f>
        <v>2.219868607640374E-2</v>
      </c>
      <c r="I67" s="1">
        <f t="shared" ref="I67:I102" si="17">G67/B67</f>
        <v>16.007949463674414</v>
      </c>
      <c r="J67" s="1">
        <f t="shared" si="10"/>
        <v>33598.124596941459</v>
      </c>
      <c r="K67" s="1">
        <f>SUM(J67:$J$102)</f>
        <v>364459.31315210531</v>
      </c>
      <c r="L67" s="1">
        <f>SUM(K67:$K$102)</f>
        <v>3113704.4356745947</v>
      </c>
      <c r="M67" s="1">
        <f t="shared" si="11"/>
        <v>702.52078621509554</v>
      </c>
      <c r="N67" s="1">
        <f>SUM(M67:$M$102)</f>
        <v>16242.919208745958</v>
      </c>
      <c r="O67" s="1">
        <f>SUM(N67:$N$102)</f>
        <v>216187.67335807698</v>
      </c>
    </row>
    <row r="68" spans="1:15" x14ac:dyDescent="0.25">
      <c r="A68">
        <v>66</v>
      </c>
      <c r="B68" s="1">
        <f t="shared" si="12"/>
        <v>783390.52239766833</v>
      </c>
      <c r="C68" s="1">
        <f t="shared" si="13"/>
        <v>17950.610430220142</v>
      </c>
      <c r="D68" s="2">
        <v>2.2914E-2</v>
      </c>
      <c r="E68" s="3">
        <f t="shared" si="14"/>
        <v>0.97708600000000001</v>
      </c>
      <c r="F68" s="1">
        <f t="shared" si="15"/>
        <v>774415.21718255826</v>
      </c>
      <c r="G68" s="1">
        <f>SUM(F68:$F$102)</f>
        <v>12029799.283187713</v>
      </c>
      <c r="H68">
        <f t="shared" si="16"/>
        <v>2.3179568314175468E-2</v>
      </c>
      <c r="I68" s="1">
        <f t="shared" si="17"/>
        <v>15.356069468863309</v>
      </c>
      <c r="J68" s="1">
        <f t="shared" si="10"/>
        <v>31295.693115633916</v>
      </c>
      <c r="K68" s="1">
        <f>SUM(J68:$J$102)</f>
        <v>330861.18855516391</v>
      </c>
      <c r="L68" s="1">
        <f>SUM(K68:$K$102)</f>
        <v>2749245.1225224892</v>
      </c>
      <c r="M68" s="1">
        <f t="shared" si="11"/>
        <v>682.96144004917551</v>
      </c>
      <c r="N68" s="1">
        <f>SUM(M68:$M$102)</f>
        <v>15540.398422530861</v>
      </c>
      <c r="O68" s="1">
        <f>SUM(N68:$N$102)</f>
        <v>199944.75414933098</v>
      </c>
    </row>
    <row r="69" spans="1:15" x14ac:dyDescent="0.25">
      <c r="A69">
        <v>67</v>
      </c>
      <c r="B69" s="1">
        <f t="shared" si="12"/>
        <v>765439.91196744819</v>
      </c>
      <c r="C69" s="1">
        <f t="shared" si="13"/>
        <v>18882.637188325054</v>
      </c>
      <c r="D69" s="2">
        <v>2.4669E-2</v>
      </c>
      <c r="E69" s="3">
        <f t="shared" si="14"/>
        <v>0.97533099999999995</v>
      </c>
      <c r="F69" s="1">
        <f t="shared" si="15"/>
        <v>755998.59337328561</v>
      </c>
      <c r="G69" s="1">
        <f>SUM(F69:$F$102)</f>
        <v>11255384.066005155</v>
      </c>
      <c r="H69">
        <f t="shared" si="16"/>
        <v>2.497707979067822E-2</v>
      </c>
      <c r="I69" s="1">
        <f t="shared" si="17"/>
        <v>14.704464570020765</v>
      </c>
      <c r="J69" s="1">
        <f t="shared" si="10"/>
        <v>29122.460574840265</v>
      </c>
      <c r="K69" s="1">
        <f>SUM(J69:$J$102)</f>
        <v>299565.49543953006</v>
      </c>
      <c r="L69" s="1">
        <f>SUM(K69:$K$102)</f>
        <v>2418383.9339673258</v>
      </c>
      <c r="M69" s="1">
        <f t="shared" si="11"/>
        <v>684.21140944832132</v>
      </c>
      <c r="N69" s="1">
        <f>SUM(M69:$M$102)</f>
        <v>14857.436982481686</v>
      </c>
      <c r="O69" s="1">
        <f>SUM(N69:$N$102)</f>
        <v>184404.35572680013</v>
      </c>
    </row>
    <row r="70" spans="1:15" x14ac:dyDescent="0.25">
      <c r="A70">
        <v>68</v>
      </c>
      <c r="B70" s="1">
        <f t="shared" si="12"/>
        <v>746557.27477912314</v>
      </c>
      <c r="C70" s="1">
        <f t="shared" si="13"/>
        <v>19425.420289752772</v>
      </c>
      <c r="D70" s="2">
        <v>2.6020000000000001E-2</v>
      </c>
      <c r="E70" s="3">
        <f t="shared" si="14"/>
        <v>0.97397999999999996</v>
      </c>
      <c r="F70" s="1">
        <f t="shared" si="15"/>
        <v>736844.56463424675</v>
      </c>
      <c r="G70" s="1">
        <f>SUM(F70:$F$102)</f>
        <v>10499385.47263187</v>
      </c>
      <c r="H70">
        <f t="shared" si="16"/>
        <v>2.6362982401037481E-2</v>
      </c>
      <c r="I70" s="1">
        <f t="shared" si="17"/>
        <v>14.063737408142227</v>
      </c>
      <c r="J70" s="1">
        <f t="shared" si="10"/>
        <v>27051.465328494789</v>
      </c>
      <c r="K70" s="1">
        <f>SUM(J70:$J$102)</f>
        <v>270443.03486468981</v>
      </c>
      <c r="L70" s="1">
        <f>SUM(K70:$K$102)</f>
        <v>2118818.4385277955</v>
      </c>
      <c r="M70" s="1">
        <f t="shared" si="11"/>
        <v>670.36107414041317</v>
      </c>
      <c r="N70" s="1">
        <f>SUM(M70:$M$102)</f>
        <v>14173.225573033364</v>
      </c>
      <c r="O70" s="1">
        <f>SUM(N70:$N$102)</f>
        <v>169546.91874431845</v>
      </c>
    </row>
    <row r="71" spans="1:15" x14ac:dyDescent="0.25">
      <c r="A71">
        <v>69</v>
      </c>
      <c r="B71" s="1">
        <f t="shared" si="12"/>
        <v>727131.85448937037</v>
      </c>
      <c r="C71" s="1">
        <f t="shared" si="13"/>
        <v>19877.603506175918</v>
      </c>
      <c r="D71" s="2">
        <v>2.7337E-2</v>
      </c>
      <c r="E71" s="3">
        <f t="shared" si="14"/>
        <v>0.97266300000000006</v>
      </c>
      <c r="F71" s="1">
        <f t="shared" si="15"/>
        <v>717193.05273628235</v>
      </c>
      <c r="G71" s="1">
        <f>SUM(F71:$F$102)</f>
        <v>9762540.9079976231</v>
      </c>
      <c r="H71">
        <f t="shared" si="16"/>
        <v>2.7715833875324881E-2</v>
      </c>
      <c r="I71" s="1">
        <f t="shared" si="17"/>
        <v>13.426094384014279</v>
      </c>
      <c r="J71" s="1">
        <f t="shared" si="10"/>
        <v>25092.939238711762</v>
      </c>
      <c r="K71" s="1">
        <f>SUM(J71:$J$102)</f>
        <v>243391.56953619502</v>
      </c>
      <c r="L71" s="1">
        <f>SUM(K71:$K$102)</f>
        <v>1848375.4036631058</v>
      </c>
      <c r="M71" s="1">
        <f t="shared" si="11"/>
        <v>653.30064758920332</v>
      </c>
      <c r="N71" s="1">
        <f>SUM(M71:$M$102)</f>
        <v>13502.86449889295</v>
      </c>
      <c r="O71" s="1">
        <f>SUM(N71:$N$102)</f>
        <v>155373.69317128506</v>
      </c>
    </row>
    <row r="72" spans="1:15" x14ac:dyDescent="0.25">
      <c r="A72">
        <v>70</v>
      </c>
      <c r="B72" s="1">
        <f t="shared" si="12"/>
        <v>707254.25098319445</v>
      </c>
      <c r="C72" s="1">
        <f t="shared" si="13"/>
        <v>20313.049342488288</v>
      </c>
      <c r="D72" s="2">
        <v>2.8721E-2</v>
      </c>
      <c r="E72" s="3">
        <f t="shared" si="14"/>
        <v>0.971279</v>
      </c>
      <c r="F72" s="1">
        <f t="shared" si="15"/>
        <v>697097.72631195025</v>
      </c>
      <c r="G72" s="1">
        <f>SUM(F72:$F$102)</f>
        <v>9045347.8552613426</v>
      </c>
      <c r="H72">
        <f t="shared" si="16"/>
        <v>2.9139457174758059E-2</v>
      </c>
      <c r="I72" s="1">
        <f t="shared" si="17"/>
        <v>12.789386338345636</v>
      </c>
      <c r="J72" s="1">
        <f t="shared" si="10"/>
        <v>23244.736722612477</v>
      </c>
      <c r="K72" s="1">
        <f>SUM(J72:$J$102)</f>
        <v>218298.63029748324</v>
      </c>
      <c r="L72" s="1">
        <f>SUM(K72:$K$102)</f>
        <v>1604983.8341269109</v>
      </c>
      <c r="M72" s="1">
        <f t="shared" si="11"/>
        <v>635.82103181919194</v>
      </c>
      <c r="N72" s="1">
        <f>SUM(M72:$M$102)</f>
        <v>12849.563851303748</v>
      </c>
      <c r="O72" s="1">
        <f>SUM(N72:$N$102)</f>
        <v>141870.82867239215</v>
      </c>
    </row>
    <row r="73" spans="1:15" x14ac:dyDescent="0.25">
      <c r="A73">
        <v>71</v>
      </c>
      <c r="B73" s="1">
        <f t="shared" si="12"/>
        <v>686941.20164070616</v>
      </c>
      <c r="C73" s="1">
        <f t="shared" si="13"/>
        <v>20792.336291260901</v>
      </c>
      <c r="D73" s="2">
        <v>3.0268E-2</v>
      </c>
      <c r="E73" s="3">
        <f t="shared" si="14"/>
        <v>0.96973200000000004</v>
      </c>
      <c r="F73" s="1">
        <f t="shared" si="15"/>
        <v>676545.03349507577</v>
      </c>
      <c r="G73" s="1">
        <f>SUM(F73:$F$102)</f>
        <v>8348250.1289493917</v>
      </c>
      <c r="H73">
        <f t="shared" si="16"/>
        <v>3.073311496183238E-2</v>
      </c>
      <c r="I73" s="1">
        <f t="shared" si="17"/>
        <v>12.152787034771301</v>
      </c>
      <c r="J73" s="1">
        <f t="shared" si="10"/>
        <v>21502.023465906972</v>
      </c>
      <c r="K73" s="1">
        <f>SUM(J73:$J$102)</f>
        <v>195053.89357487077</v>
      </c>
      <c r="L73" s="1">
        <f>SUM(K73:$K$102)</f>
        <v>1386685.2038294275</v>
      </c>
      <c r="M73" s="1">
        <f t="shared" si="11"/>
        <v>619.83166311054515</v>
      </c>
      <c r="N73" s="1">
        <f>SUM(M73:$M$102)</f>
        <v>12213.742819484556</v>
      </c>
      <c r="O73" s="1">
        <f>SUM(N73:$N$102)</f>
        <v>129021.26482108841</v>
      </c>
    </row>
    <row r="74" spans="1:15" x14ac:dyDescent="0.25">
      <c r="A74">
        <v>72</v>
      </c>
      <c r="B74" s="1">
        <f t="shared" si="12"/>
        <v>666148.86534944526</v>
      </c>
      <c r="C74" s="1">
        <f t="shared" si="13"/>
        <v>21368.057153814123</v>
      </c>
      <c r="D74" s="2">
        <v>3.2077000000000001E-2</v>
      </c>
      <c r="E74" s="3">
        <f t="shared" si="14"/>
        <v>0.96792299999999998</v>
      </c>
      <c r="F74" s="1">
        <f t="shared" si="15"/>
        <v>655464.83677253826</v>
      </c>
      <c r="G74" s="1">
        <f>SUM(F74:$F$102)</f>
        <v>7671705.0954543175</v>
      </c>
      <c r="H74">
        <f t="shared" si="16"/>
        <v>3.2599852738140617E-2</v>
      </c>
      <c r="I74" s="1">
        <f t="shared" si="17"/>
        <v>11.516502533453885</v>
      </c>
      <c r="J74" s="1">
        <f t="shared" si="10"/>
        <v>19858.285923467523</v>
      </c>
      <c r="K74" s="1">
        <f>SUM(J74:$J$102)</f>
        <v>173551.87010896381</v>
      </c>
      <c r="L74" s="1">
        <f>SUM(K74:$K$102)</f>
        <v>1191631.3102545566</v>
      </c>
      <c r="M74" s="1">
        <f t="shared" si="11"/>
        <v>606.66117863530178</v>
      </c>
      <c r="N74" s="1">
        <f>SUM(M74:$M$102)</f>
        <v>11593.91115637401</v>
      </c>
      <c r="O74" s="1">
        <f>SUM(N74:$N$102)</f>
        <v>116807.52200160385</v>
      </c>
    </row>
    <row r="75" spans="1:15" x14ac:dyDescent="0.25">
      <c r="A75">
        <v>73</v>
      </c>
      <c r="B75" s="1">
        <f t="shared" si="12"/>
        <v>644780.80819563114</v>
      </c>
      <c r="C75" s="1">
        <f t="shared" si="13"/>
        <v>23922.657545674243</v>
      </c>
      <c r="D75" s="2">
        <v>3.7102000000000003E-2</v>
      </c>
      <c r="E75" s="3">
        <f t="shared" si="14"/>
        <v>0.96289800000000003</v>
      </c>
      <c r="F75" s="1">
        <f t="shared" si="15"/>
        <v>632819.47942279396</v>
      </c>
      <c r="G75" s="1">
        <f>SUM(F75:$F$102)</f>
        <v>7016240.2586817788</v>
      </c>
      <c r="H75">
        <f t="shared" si="16"/>
        <v>3.7803288810727712E-2</v>
      </c>
      <c r="I75" s="1">
        <f t="shared" si="17"/>
        <v>10.88158978911947</v>
      </c>
      <c r="J75" s="1">
        <f t="shared" si="10"/>
        <v>18305.99208180996</v>
      </c>
      <c r="K75" s="1">
        <f>SUM(J75:$J$102)</f>
        <v>153693.58418549626</v>
      </c>
      <c r="L75" s="1">
        <f>SUM(K75:$K$102)</f>
        <v>1018079.4401455928</v>
      </c>
      <c r="M75" s="1">
        <f t="shared" si="11"/>
        <v>646.84658878029643</v>
      </c>
      <c r="N75" s="1">
        <f>SUM(M75:$M$102)</f>
        <v>10987.249977738709</v>
      </c>
      <c r="O75" s="1">
        <f>SUM(N75:$N$102)</f>
        <v>105213.61084522985</v>
      </c>
    </row>
    <row r="76" spans="1:15" x14ac:dyDescent="0.25">
      <c r="A76">
        <v>74</v>
      </c>
      <c r="B76" s="1">
        <f t="shared" si="12"/>
        <v>620858.15064995689</v>
      </c>
      <c r="C76" s="1">
        <f t="shared" si="13"/>
        <v>25892.889172856463</v>
      </c>
      <c r="D76" s="2">
        <v>4.1704999999999999E-2</v>
      </c>
      <c r="E76" s="3">
        <f t="shared" si="14"/>
        <v>0.95829500000000001</v>
      </c>
      <c r="F76" s="1">
        <f t="shared" si="15"/>
        <v>607911.70606352866</v>
      </c>
      <c r="G76" s="1">
        <f>SUM(F76:$F$102)</f>
        <v>6383420.7792589841</v>
      </c>
      <c r="H76">
        <f t="shared" si="16"/>
        <v>4.2593174164260256E-2</v>
      </c>
      <c r="I76" s="1">
        <f t="shared" si="17"/>
        <v>10.281609048019071</v>
      </c>
      <c r="J76" s="1">
        <f t="shared" si="10"/>
        <v>16787.431584372043</v>
      </c>
      <c r="K76" s="1">
        <f>SUM(J76:$J$102)</f>
        <v>135387.5921036863</v>
      </c>
      <c r="L76" s="1">
        <f>SUM(K76:$K$102)</f>
        <v>864385.85596009647</v>
      </c>
      <c r="M76" s="1">
        <f t="shared" si="11"/>
        <v>666.78079450117752</v>
      </c>
      <c r="N76" s="1">
        <f>SUM(M76:$M$102)</f>
        <v>10340.403388958413</v>
      </c>
      <c r="O76" s="1">
        <f>SUM(N76:$N$102)</f>
        <v>94226.360867491137</v>
      </c>
    </row>
    <row r="77" spans="1:15" x14ac:dyDescent="0.25">
      <c r="A77">
        <v>75</v>
      </c>
      <c r="B77" s="1">
        <f t="shared" si="12"/>
        <v>594965.26147710043</v>
      </c>
      <c r="C77" s="1">
        <f t="shared" si="13"/>
        <v>27167.898734828806</v>
      </c>
      <c r="D77" s="2">
        <v>4.5663000000000002E-2</v>
      </c>
      <c r="E77" s="3">
        <f t="shared" si="14"/>
        <v>0.95433699999999999</v>
      </c>
      <c r="F77" s="1">
        <f t="shared" si="15"/>
        <v>581381.31210968597</v>
      </c>
      <c r="G77" s="1">
        <f>SUM(F77:$F$102)</f>
        <v>5775509.0731954547</v>
      </c>
      <c r="H77">
        <f t="shared" si="16"/>
        <v>4.672991403222674E-2</v>
      </c>
      <c r="I77" s="1">
        <f t="shared" si="17"/>
        <v>9.707304690120548</v>
      </c>
      <c r="J77" s="1">
        <f t="shared" si="10"/>
        <v>15321.249285853151</v>
      </c>
      <c r="K77" s="1">
        <f>SUM(J77:$J$102)</f>
        <v>118600.16051931419</v>
      </c>
      <c r="L77" s="1">
        <f>SUM(K77:$K$102)</f>
        <v>728998.26385641017</v>
      </c>
      <c r="M77" s="1">
        <f t="shared" si="11"/>
        <v>666.29924394277293</v>
      </c>
      <c r="N77" s="1">
        <f>SUM(M77:$M$102)</f>
        <v>9673.6225944572361</v>
      </c>
      <c r="O77" s="1">
        <f>SUM(N77:$N$102)</f>
        <v>83885.957478532728</v>
      </c>
    </row>
    <row r="78" spans="1:15" x14ac:dyDescent="0.25">
      <c r="A78">
        <v>76</v>
      </c>
      <c r="B78" s="1">
        <f t="shared" si="12"/>
        <v>567797.36274227162</v>
      </c>
      <c r="C78" s="1">
        <f t="shared" si="13"/>
        <v>28454.029239103431</v>
      </c>
      <c r="D78" s="2">
        <v>5.0112999999999998E-2</v>
      </c>
      <c r="E78" s="3">
        <f t="shared" si="14"/>
        <v>0.94988700000000004</v>
      </c>
      <c r="F78" s="1">
        <f t="shared" si="15"/>
        <v>553570.34812271991</v>
      </c>
      <c r="G78" s="1">
        <f>SUM(F78:$F$102)</f>
        <v>5194127.7610857682</v>
      </c>
      <c r="H78">
        <f t="shared" si="16"/>
        <v>5.1400927335789152E-2</v>
      </c>
      <c r="I78" s="1">
        <f t="shared" si="17"/>
        <v>9.1478546782955554</v>
      </c>
      <c r="J78" s="1">
        <f t="shared" si="10"/>
        <v>13925.366742584036</v>
      </c>
      <c r="K78" s="1">
        <f>SUM(J78:$J$102)</f>
        <v>103278.91123346103</v>
      </c>
      <c r="L78" s="1">
        <f>SUM(K78:$K$102)</f>
        <v>610398.10333709605</v>
      </c>
      <c r="M78" s="1">
        <f t="shared" si="11"/>
        <v>664.61133673439338</v>
      </c>
      <c r="N78" s="1">
        <f>SUM(M78:$M$102)</f>
        <v>9007.3233505144617</v>
      </c>
      <c r="O78" s="1">
        <f>SUM(N78:$N$102)</f>
        <v>74212.334884075492</v>
      </c>
    </row>
    <row r="79" spans="1:15" x14ac:dyDescent="0.25">
      <c r="A79">
        <v>77</v>
      </c>
      <c r="B79" s="1">
        <f t="shared" si="12"/>
        <v>539343.33350316819</v>
      </c>
      <c r="C79" s="1">
        <f t="shared" si="13"/>
        <v>29726.9865126941</v>
      </c>
      <c r="D79" s="2">
        <v>5.5116999999999999E-2</v>
      </c>
      <c r="E79" s="3">
        <f t="shared" si="14"/>
        <v>0.94488300000000003</v>
      </c>
      <c r="F79" s="1">
        <f t="shared" si="15"/>
        <v>524479.84024682117</v>
      </c>
      <c r="G79" s="1">
        <f>SUM(F79:$F$102)</f>
        <v>4640557.4129630486</v>
      </c>
      <c r="H79">
        <f t="shared" si="16"/>
        <v>5.6678987887703224E-2</v>
      </c>
      <c r="I79" s="1">
        <f t="shared" si="17"/>
        <v>8.6040878318111051</v>
      </c>
      <c r="J79" s="1">
        <f t="shared" si="10"/>
        <v>12597.64270382183</v>
      </c>
      <c r="K79" s="1">
        <f>SUM(J79:$J$102)</f>
        <v>89353.544490876986</v>
      </c>
      <c r="L79" s="1">
        <f>SUM(K79:$K$102)</f>
        <v>507119.19210363488</v>
      </c>
      <c r="M79" s="1">
        <f t="shared" si="11"/>
        <v>661.28025991099742</v>
      </c>
      <c r="N79" s="1">
        <f>SUM(M79:$M$102)</f>
        <v>8342.7120137800666</v>
      </c>
      <c r="O79" s="1">
        <f>SUM(N79:$N$102)</f>
        <v>65205.011533561046</v>
      </c>
    </row>
    <row r="80" spans="1:15" x14ac:dyDescent="0.25">
      <c r="A80">
        <v>78</v>
      </c>
      <c r="B80" s="1">
        <f t="shared" si="12"/>
        <v>509616.34699047409</v>
      </c>
      <c r="C80" s="1">
        <f t="shared" si="13"/>
        <v>30952.568067160435</v>
      </c>
      <c r="D80" s="2">
        <v>6.0736999999999999E-2</v>
      </c>
      <c r="E80" s="3">
        <f t="shared" si="14"/>
        <v>0.93926299999999996</v>
      </c>
      <c r="F80" s="1">
        <f t="shared" si="15"/>
        <v>494140.06295689387</v>
      </c>
      <c r="G80" s="1">
        <f>SUM(F80:$F$102)</f>
        <v>4116077.5727162254</v>
      </c>
      <c r="H80">
        <f t="shared" si="16"/>
        <v>6.2639260378814038E-2</v>
      </c>
      <c r="I80" s="1">
        <f t="shared" si="17"/>
        <v>8.0768162109077011</v>
      </c>
      <c r="J80" s="1">
        <f t="shared" si="10"/>
        <v>11336.474696109794</v>
      </c>
      <c r="K80" s="1">
        <f>SUM(J80:$J$102)</f>
        <v>76755.901787055147</v>
      </c>
      <c r="L80" s="1">
        <f>SUM(K80:$K$102)</f>
        <v>417765.64761275792</v>
      </c>
      <c r="M80" s="1">
        <f t="shared" si="11"/>
        <v>655.75567963582932</v>
      </c>
      <c r="N80" s="1">
        <f>SUM(M80:$M$102)</f>
        <v>7681.4317538690684</v>
      </c>
      <c r="O80" s="1">
        <f>SUM(N80:$N$102)</f>
        <v>56862.299519780972</v>
      </c>
    </row>
    <row r="81" spans="1:15" x14ac:dyDescent="0.25">
      <c r="A81">
        <v>79</v>
      </c>
      <c r="B81" s="1">
        <f t="shared" si="12"/>
        <v>478663.77892331366</v>
      </c>
      <c r="C81" s="1">
        <f t="shared" si="13"/>
        <v>32092.970385471417</v>
      </c>
      <c r="D81" s="2">
        <v>6.7046999999999995E-2</v>
      </c>
      <c r="E81" s="3">
        <f t="shared" si="14"/>
        <v>0.93295300000000003</v>
      </c>
      <c r="F81" s="1">
        <f t="shared" si="15"/>
        <v>462617.29373057792</v>
      </c>
      <c r="G81" s="1">
        <f>SUM(F81:$F$102)</f>
        <v>3621937.5097593321</v>
      </c>
      <c r="H81">
        <f t="shared" si="16"/>
        <v>6.9372612784687496E-2</v>
      </c>
      <c r="I81" s="1">
        <f t="shared" si="17"/>
        <v>7.5667674665218394</v>
      </c>
      <c r="J81" s="1">
        <f t="shared" si="10"/>
        <v>10140.886888087784</v>
      </c>
      <c r="K81" s="1">
        <f>SUM(J81:$J$102)</f>
        <v>65419.427090945377</v>
      </c>
      <c r="L81" s="1">
        <f>SUM(K81:$K$102)</f>
        <v>341009.74582570273</v>
      </c>
      <c r="M81" s="1">
        <f t="shared" si="11"/>
        <v>647.53908874821116</v>
      </c>
      <c r="N81" s="1">
        <f>SUM(M81:$M$102)</f>
        <v>7025.676074233239</v>
      </c>
      <c r="O81" s="1">
        <f>SUM(N81:$N$102)</f>
        <v>49180.867765911906</v>
      </c>
    </row>
    <row r="82" spans="1:15" x14ac:dyDescent="0.25">
      <c r="A82">
        <v>80</v>
      </c>
      <c r="B82" s="1">
        <f t="shared" si="12"/>
        <v>446570.80853784224</v>
      </c>
      <c r="C82" s="1">
        <f t="shared" si="13"/>
        <v>33102.061182867561</v>
      </c>
      <c r="D82" s="2">
        <v>7.4124999999999996E-2</v>
      </c>
      <c r="E82" s="3">
        <f t="shared" si="14"/>
        <v>0.925875</v>
      </c>
      <c r="F82" s="1">
        <f t="shared" si="15"/>
        <v>430019.77794640849</v>
      </c>
      <c r="G82" s="1">
        <f>SUM(F82:$F$102)</f>
        <v>3159320.2160287541</v>
      </c>
      <c r="H82">
        <f t="shared" si="16"/>
        <v>7.6977997014344129E-2</v>
      </c>
      <c r="I82" s="1">
        <f t="shared" si="17"/>
        <v>7.0746232302397223</v>
      </c>
      <c r="J82" s="1">
        <f t="shared" si="10"/>
        <v>9010.4484237163433</v>
      </c>
      <c r="K82" s="1">
        <f>SUM(J82:$J$102)</f>
        <v>55278.540202857599</v>
      </c>
      <c r="L82" s="1">
        <f>SUM(K82:$K$102)</f>
        <v>275590.31873475737</v>
      </c>
      <c r="M82" s="1">
        <f t="shared" si="11"/>
        <v>636.09475181711821</v>
      </c>
      <c r="N82" s="1">
        <f>SUM(M82:$M$102)</f>
        <v>6378.1369854850273</v>
      </c>
      <c r="O82" s="1">
        <f>SUM(N82:$N$102)</f>
        <v>42155.191691678665</v>
      </c>
    </row>
    <row r="83" spans="1:15" x14ac:dyDescent="0.25">
      <c r="A83">
        <v>81</v>
      </c>
      <c r="B83" s="1">
        <f t="shared" si="12"/>
        <v>413468.74735497468</v>
      </c>
      <c r="C83" s="1">
        <f t="shared" si="13"/>
        <v>33927.591532959836</v>
      </c>
      <c r="D83" s="2">
        <v>8.2056000000000004E-2</v>
      </c>
      <c r="E83" s="3">
        <f t="shared" si="14"/>
        <v>0.91794399999999998</v>
      </c>
      <c r="F83" s="1">
        <f t="shared" si="15"/>
        <v>396504.95158849476</v>
      </c>
      <c r="G83" s="1">
        <f>SUM(F83:$F$102)</f>
        <v>2729300.4380823453</v>
      </c>
      <c r="H83">
        <f t="shared" si="16"/>
        <v>8.5566627597051928E-2</v>
      </c>
      <c r="I83" s="1">
        <f t="shared" si="17"/>
        <v>6.6009836427592514</v>
      </c>
      <c r="J83" s="1">
        <f t="shared" si="10"/>
        <v>7945.284699341305</v>
      </c>
      <c r="K83" s="1">
        <f>SUM(J83:$J$102)</f>
        <v>46268.09177914125</v>
      </c>
      <c r="L83" s="1">
        <f>SUM(K83:$K$102)</f>
        <v>220311.77853189979</v>
      </c>
      <c r="M83" s="1">
        <f t="shared" si="11"/>
        <v>620.91264884681027</v>
      </c>
      <c r="N83" s="1">
        <f>SUM(M83:$M$102)</f>
        <v>5742.0422336679085</v>
      </c>
      <c r="O83" s="1">
        <f>SUM(N83:$N$102)</f>
        <v>35777.054706193638</v>
      </c>
    </row>
    <row r="84" spans="1:15" x14ac:dyDescent="0.25">
      <c r="A84">
        <v>82</v>
      </c>
      <c r="B84" s="1">
        <f t="shared" si="12"/>
        <v>379541.15582201484</v>
      </c>
      <c r="C84" s="1">
        <f t="shared" si="13"/>
        <v>34513.195463519078</v>
      </c>
      <c r="D84" s="2">
        <v>9.0934000000000001E-2</v>
      </c>
      <c r="E84" s="3">
        <f t="shared" si="14"/>
        <v>0.90906600000000004</v>
      </c>
      <c r="F84" s="1">
        <f t="shared" si="15"/>
        <v>362284.5580902553</v>
      </c>
      <c r="G84" s="1">
        <f>SUM(F84:$F$102)</f>
        <v>2332795.4864938501</v>
      </c>
      <c r="H84">
        <f t="shared" si="16"/>
        <v>9.5265433463274651E-2</v>
      </c>
      <c r="I84" s="1">
        <f t="shared" si="17"/>
        <v>6.1463571228302065</v>
      </c>
      <c r="J84" s="1">
        <f t="shared" si="10"/>
        <v>6946.0251600496704</v>
      </c>
      <c r="K84" s="1">
        <f>SUM(J84:$J$102)</f>
        <v>38322.807079799953</v>
      </c>
      <c r="L84" s="1">
        <f>SUM(K84:$K$102)</f>
        <v>174043.68675275854</v>
      </c>
      <c r="M84" s="1">
        <f t="shared" si="11"/>
        <v>601.55223990852983</v>
      </c>
      <c r="N84" s="1">
        <f>SUM(M84:$M$102)</f>
        <v>5121.1295848210984</v>
      </c>
      <c r="O84" s="1">
        <f>SUM(N84:$N$102)</f>
        <v>30035.012472525737</v>
      </c>
    </row>
    <row r="85" spans="1:15" x14ac:dyDescent="0.25">
      <c r="A85">
        <v>83</v>
      </c>
      <c r="B85" s="1">
        <f t="shared" si="12"/>
        <v>345027.96035849577</v>
      </c>
      <c r="C85" s="1">
        <f t="shared" si="13"/>
        <v>34799.86510971823</v>
      </c>
      <c r="D85" s="2">
        <v>0.10086100000000001</v>
      </c>
      <c r="E85" s="3">
        <f t="shared" si="14"/>
        <v>0.89913900000000002</v>
      </c>
      <c r="F85" s="1">
        <f t="shared" si="15"/>
        <v>327628.02780363662</v>
      </c>
      <c r="G85" s="1">
        <f>SUM(F85:$F$102)</f>
        <v>1970510.9284035955</v>
      </c>
      <c r="H85">
        <f t="shared" si="16"/>
        <v>0.10621760703139684</v>
      </c>
      <c r="I85" s="1">
        <f t="shared" si="17"/>
        <v>5.7111630209800035</v>
      </c>
      <c r="J85" s="1">
        <f t="shared" si="10"/>
        <v>6013.7098172816322</v>
      </c>
      <c r="K85" s="1">
        <f>SUM(J85:$J$102)</f>
        <v>31376.781919750283</v>
      </c>
      <c r="L85" s="1">
        <f>SUM(K85:$K$102)</f>
        <v>135720.8796729586</v>
      </c>
      <c r="M85" s="1">
        <f t="shared" si="11"/>
        <v>577.6655103627071</v>
      </c>
      <c r="N85" s="1">
        <f>SUM(M85:$M$102)</f>
        <v>4519.5773449125682</v>
      </c>
      <c r="O85" s="1">
        <f>SUM(N85:$N$102)</f>
        <v>24913.882887704636</v>
      </c>
    </row>
    <row r="86" spans="1:15" x14ac:dyDescent="0.25">
      <c r="A86">
        <v>84</v>
      </c>
      <c r="B86" s="1">
        <f t="shared" si="12"/>
        <v>310228.09524877754</v>
      </c>
      <c r="C86" s="1">
        <f t="shared" si="13"/>
        <v>34728.794350719661</v>
      </c>
      <c r="D86" s="2">
        <v>0.111946</v>
      </c>
      <c r="E86" s="3">
        <f t="shared" si="14"/>
        <v>0.88805400000000001</v>
      </c>
      <c r="F86" s="1">
        <f t="shared" si="15"/>
        <v>292863.69807341771</v>
      </c>
      <c r="G86" s="1">
        <f>SUM(F86:$F$102)</f>
        <v>1642882.9005999588</v>
      </c>
      <c r="H86">
        <f t="shared" si="16"/>
        <v>0.11858347271847101</v>
      </c>
      <c r="I86" s="1">
        <f t="shared" si="17"/>
        <v>5.295725712020058</v>
      </c>
      <c r="J86" s="1">
        <f t="shared" si="10"/>
        <v>5149.6771727626565</v>
      </c>
      <c r="K86" s="1">
        <f>SUM(J86:$J$102)</f>
        <v>25363.07210246865</v>
      </c>
      <c r="L86" s="1">
        <f>SUM(K86:$K$102)</f>
        <v>104344.09775320832</v>
      </c>
      <c r="M86" s="1">
        <f t="shared" si="11"/>
        <v>549.03405788770328</v>
      </c>
      <c r="N86" s="1">
        <f>SUM(M86:$M$102)</f>
        <v>3941.9118345498623</v>
      </c>
      <c r="O86" s="1">
        <f>SUM(N86:$N$102)</f>
        <v>20394.305542792066</v>
      </c>
    </row>
    <row r="87" spans="1:15" x14ac:dyDescent="0.25">
      <c r="A87">
        <v>85</v>
      </c>
      <c r="B87" s="1">
        <f t="shared" si="12"/>
        <v>275499.30089805787</v>
      </c>
      <c r="C87" s="1">
        <f t="shared" si="13"/>
        <v>34245.665098832163</v>
      </c>
      <c r="D87" s="2">
        <v>0.124304</v>
      </c>
      <c r="E87" s="3">
        <f t="shared" si="14"/>
        <v>0.87569600000000003</v>
      </c>
      <c r="F87" s="1">
        <f t="shared" si="15"/>
        <v>258376.46834864179</v>
      </c>
      <c r="G87" s="1">
        <f>SUM(F87:$F$102)</f>
        <v>1350019.202526541</v>
      </c>
      <c r="H87">
        <f t="shared" si="16"/>
        <v>0.13254173384173118</v>
      </c>
      <c r="I87" s="1">
        <f t="shared" si="17"/>
        <v>4.9002636236310604</v>
      </c>
      <c r="J87" s="1">
        <f t="shared" si="10"/>
        <v>4355.4203923624445</v>
      </c>
      <c r="K87" s="1">
        <f>SUM(J87:$J$102)</f>
        <v>20213.394929705992</v>
      </c>
      <c r="L87" s="1">
        <f>SUM(K87:$K$102)</f>
        <v>78981.02565073967</v>
      </c>
      <c r="M87" s="1">
        <f t="shared" si="11"/>
        <v>515.61540614497244</v>
      </c>
      <c r="N87" s="1">
        <f>SUM(M87:$M$102)</f>
        <v>3392.8777766621592</v>
      </c>
      <c r="O87" s="1">
        <f>SUM(N87:$N$102)</f>
        <v>16452.393708242202</v>
      </c>
    </row>
    <row r="88" spans="1:15" x14ac:dyDescent="0.25">
      <c r="A88">
        <v>86</v>
      </c>
      <c r="B88" s="1">
        <f t="shared" si="12"/>
        <v>241253.63579922571</v>
      </c>
      <c r="C88" s="1">
        <f t="shared" si="13"/>
        <v>33307.235704805295</v>
      </c>
      <c r="D88" s="2">
        <v>0.13805899999999999</v>
      </c>
      <c r="E88" s="3">
        <f t="shared" si="14"/>
        <v>0.86194100000000007</v>
      </c>
      <c r="F88" s="1">
        <f t="shared" si="15"/>
        <v>224600.01794682306</v>
      </c>
      <c r="G88" s="1">
        <f>SUM(F88:$F$102)</f>
        <v>1091642.7341778988</v>
      </c>
      <c r="H88">
        <f t="shared" si="16"/>
        <v>0.14829578380840205</v>
      </c>
      <c r="I88" s="1">
        <f t="shared" si="17"/>
        <v>4.5248757829555677</v>
      </c>
      <c r="J88" s="1">
        <f t="shared" si="10"/>
        <v>3632.4040151525946</v>
      </c>
      <c r="K88" s="1">
        <f>SUM(J88:$J$102)</f>
        <v>15857.974537343551</v>
      </c>
      <c r="L88" s="1">
        <f>SUM(K88:$K$102)</f>
        <v>58767.630721033682</v>
      </c>
      <c r="M88" s="1">
        <f t="shared" si="11"/>
        <v>477.60577707423988</v>
      </c>
      <c r="N88" s="1">
        <f>SUM(M88:$M$102)</f>
        <v>2877.2623705171868</v>
      </c>
      <c r="O88" s="1">
        <f>SUM(N88:$N$102)</f>
        <v>13059.515931580039</v>
      </c>
    </row>
    <row r="89" spans="1:15" x14ac:dyDescent="0.25">
      <c r="A89">
        <v>87</v>
      </c>
      <c r="B89" s="1">
        <f t="shared" si="12"/>
        <v>207946.40009442042</v>
      </c>
      <c r="C89" s="1">
        <f t="shared" si="13"/>
        <v>31886.293044078338</v>
      </c>
      <c r="D89" s="2">
        <v>0.153339</v>
      </c>
      <c r="E89" s="3">
        <f t="shared" si="14"/>
        <v>0.846661</v>
      </c>
      <c r="F89" s="1">
        <f t="shared" si="15"/>
        <v>192003.25357238125</v>
      </c>
      <c r="G89" s="1">
        <f>SUM(F89:$F$102)</f>
        <v>867042.71623107593</v>
      </c>
      <c r="H89">
        <f t="shared" si="16"/>
        <v>0.166071628739655</v>
      </c>
      <c r="I89" s="1">
        <f t="shared" si="17"/>
        <v>4.1695490560903457</v>
      </c>
      <c r="J89" s="1">
        <f t="shared" si="10"/>
        <v>2981.8266183091832</v>
      </c>
      <c r="K89" s="1">
        <f>SUM(J89:$J$102)</f>
        <v>12225.570522190956</v>
      </c>
      <c r="L89" s="1">
        <f>SUM(K89:$K$102)</f>
        <v>42909.656183690131</v>
      </c>
      <c r="M89" s="1">
        <f t="shared" si="11"/>
        <v>435.45743983324945</v>
      </c>
      <c r="N89" s="1">
        <f>SUM(M89:$M$102)</f>
        <v>2399.6565934429473</v>
      </c>
      <c r="O89" s="1">
        <f>SUM(N89:$N$102)</f>
        <v>10182.253561062853</v>
      </c>
    </row>
    <row r="90" spans="1:15" x14ac:dyDescent="0.25">
      <c r="A90">
        <v>88</v>
      </c>
      <c r="B90" s="1">
        <f t="shared" si="12"/>
        <v>176060.10705034208</v>
      </c>
      <c r="C90" s="1">
        <f t="shared" si="13"/>
        <v>29977.226247140585</v>
      </c>
      <c r="D90" s="2">
        <v>0.170267</v>
      </c>
      <c r="E90" s="3">
        <f t="shared" si="14"/>
        <v>0.82973300000000005</v>
      </c>
      <c r="F90" s="1">
        <f t="shared" si="15"/>
        <v>161071.4939267718</v>
      </c>
      <c r="G90" s="1">
        <f>SUM(F90:$F$102)</f>
        <v>675039.46265869471</v>
      </c>
      <c r="H90">
        <f t="shared" si="16"/>
        <v>0.18611130695024894</v>
      </c>
      <c r="I90" s="1">
        <f t="shared" si="17"/>
        <v>3.8341420664118764</v>
      </c>
      <c r="J90" s="1">
        <f t="shared" si="10"/>
        <v>2404.3774347469248</v>
      </c>
      <c r="K90" s="1">
        <f>SUM(J90:$J$102)</f>
        <v>9243.743903881772</v>
      </c>
      <c r="L90" s="1">
        <f>SUM(K90:$K$102)</f>
        <v>30684.085661499186</v>
      </c>
      <c r="M90" s="1">
        <f t="shared" si="11"/>
        <v>389.89155493529006</v>
      </c>
      <c r="N90" s="1">
        <f>SUM(M90:$M$102)</f>
        <v>1964.1991536096973</v>
      </c>
      <c r="O90" s="1">
        <f>SUM(N90:$N$102)</f>
        <v>7782.5969676199047</v>
      </c>
    </row>
    <row r="91" spans="1:15" x14ac:dyDescent="0.25">
      <c r="A91">
        <v>89</v>
      </c>
      <c r="B91" s="1">
        <f t="shared" si="12"/>
        <v>146082.88080320149</v>
      </c>
      <c r="C91" s="1">
        <f t="shared" si="13"/>
        <v>27610.102720447496</v>
      </c>
      <c r="D91" s="2">
        <v>0.189003</v>
      </c>
      <c r="E91" s="3">
        <f t="shared" si="14"/>
        <v>0.81099699999999997</v>
      </c>
      <c r="F91" s="1">
        <f t="shared" si="15"/>
        <v>132277.82944297773</v>
      </c>
      <c r="G91" s="1">
        <f>SUM(F91:$F$102)</f>
        <v>513967.96873192297</v>
      </c>
      <c r="H91">
        <f t="shared" si="16"/>
        <v>0.20872812047728412</v>
      </c>
      <c r="I91" s="1">
        <f t="shared" si="17"/>
        <v>3.5183312781483638</v>
      </c>
      <c r="J91" s="1">
        <f t="shared" si="10"/>
        <v>1899.9917162522577</v>
      </c>
      <c r="K91" s="1">
        <f>SUM(J91:$J$102)</f>
        <v>6839.3664691348486</v>
      </c>
      <c r="L91" s="1">
        <f>SUM(K91:$K$102)</f>
        <v>21440.341757617411</v>
      </c>
      <c r="M91" s="1">
        <f t="shared" si="11"/>
        <v>342.00393747316707</v>
      </c>
      <c r="N91" s="1">
        <f>SUM(M91:$M$102)</f>
        <v>1574.3075986744072</v>
      </c>
      <c r="O91" s="1">
        <f>SUM(N91:$N$102)</f>
        <v>5818.3978140102072</v>
      </c>
    </row>
    <row r="92" spans="1:15" x14ac:dyDescent="0.25">
      <c r="A92">
        <v>90</v>
      </c>
      <c r="B92" s="1">
        <f t="shared" si="12"/>
        <v>118472.778082754</v>
      </c>
      <c r="C92" s="1">
        <f t="shared" si="13"/>
        <v>24837.936397827463</v>
      </c>
      <c r="D92" s="2">
        <v>0.209651</v>
      </c>
      <c r="E92" s="3">
        <f t="shared" si="14"/>
        <v>0.79034899999999997</v>
      </c>
      <c r="F92" s="1">
        <f t="shared" si="15"/>
        <v>106053.80988384027</v>
      </c>
      <c r="G92" s="1">
        <f>SUM(F92:$F$102)</f>
        <v>381690.13928894524</v>
      </c>
      <c r="H92">
        <f t="shared" si="16"/>
        <v>0.23420126466962593</v>
      </c>
      <c r="I92" s="1">
        <f t="shared" si="17"/>
        <v>3.22175393762044</v>
      </c>
      <c r="J92" s="1">
        <f t="shared" si="10"/>
        <v>1467.5119827670781</v>
      </c>
      <c r="K92" s="1">
        <f>SUM(J92:$J$102)</f>
        <v>4939.3747528825897</v>
      </c>
      <c r="L92" s="1">
        <f>SUM(K92:$K$102)</f>
        <v>14600.975288482556</v>
      </c>
      <c r="M92" s="1">
        <f t="shared" si="11"/>
        <v>293.01462352295306</v>
      </c>
      <c r="N92" s="1">
        <f>SUM(M92:$M$102)</f>
        <v>1232.3036612012399</v>
      </c>
      <c r="O92" s="1">
        <f>SUM(N92:$N$102)</f>
        <v>4244.0902153357993</v>
      </c>
    </row>
    <row r="93" spans="1:15" x14ac:dyDescent="0.25">
      <c r="A93">
        <v>91</v>
      </c>
      <c r="B93" s="1">
        <f t="shared" si="12"/>
        <v>93634.841684926534</v>
      </c>
      <c r="C93" s="1">
        <f t="shared" si="13"/>
        <v>21755.77456096762</v>
      </c>
      <c r="D93" s="2">
        <v>0.232347</v>
      </c>
      <c r="E93" s="3">
        <f t="shared" si="14"/>
        <v>0.76765300000000003</v>
      </c>
      <c r="F93" s="1">
        <f t="shared" si="15"/>
        <v>82756.954404442717</v>
      </c>
      <c r="G93" s="1">
        <f>SUM(F93:$F$102)</f>
        <v>275636.32940510503</v>
      </c>
      <c r="H93">
        <f t="shared" si="16"/>
        <v>0.26288756899685622</v>
      </c>
      <c r="I93" s="1">
        <f t="shared" si="17"/>
        <v>2.943736801869099</v>
      </c>
      <c r="J93" s="1">
        <f t="shared" si="10"/>
        <v>1104.6158362552164</v>
      </c>
      <c r="K93" s="1">
        <f>SUM(J93:$J$102)</f>
        <v>3471.8627701155119</v>
      </c>
      <c r="L93" s="1">
        <f>SUM(K93:$K$102)</f>
        <v>9661.6005355999678</v>
      </c>
      <c r="M93" s="1">
        <f t="shared" si="11"/>
        <v>244.43254829180066</v>
      </c>
      <c r="N93" s="1">
        <f>SUM(M93:$M$102)</f>
        <v>939.28903767828717</v>
      </c>
      <c r="O93" s="1">
        <f>SUM(N93:$N$102)</f>
        <v>3011.7865541345604</v>
      </c>
    </row>
    <row r="94" spans="1:15" x14ac:dyDescent="0.25">
      <c r="A94">
        <v>92</v>
      </c>
      <c r="B94" s="1">
        <f t="shared" si="12"/>
        <v>71879.067123958914</v>
      </c>
      <c r="C94" s="1">
        <f t="shared" si="13"/>
        <v>18487.58358055073</v>
      </c>
      <c r="D94" s="2">
        <v>0.25720399999999999</v>
      </c>
      <c r="E94" s="3">
        <f t="shared" si="14"/>
        <v>0.74279600000000001</v>
      </c>
      <c r="F94" s="1">
        <f t="shared" si="15"/>
        <v>62635.275333683545</v>
      </c>
      <c r="G94" s="1">
        <f>SUM(F94:$F$102)</f>
        <v>192879.37500066229</v>
      </c>
      <c r="H94">
        <f t="shared" si="16"/>
        <v>0.29516248602819845</v>
      </c>
      <c r="I94" s="1">
        <f t="shared" si="17"/>
        <v>2.6833872880964429</v>
      </c>
      <c r="J94" s="1">
        <f t="shared" si="10"/>
        <v>807.5825338560245</v>
      </c>
      <c r="K94" s="1">
        <f>SUM(J94:$J$102)</f>
        <v>2367.2469338602955</v>
      </c>
      <c r="L94" s="1">
        <f>SUM(K94:$K$102)</f>
        <v>6189.7377654844558</v>
      </c>
      <c r="M94" s="1">
        <f t="shared" si="11"/>
        <v>197.82234098848087</v>
      </c>
      <c r="N94" s="1">
        <f>SUM(M94:$M$102)</f>
        <v>694.85648938648649</v>
      </c>
      <c r="O94" s="1">
        <f>SUM(N94:$N$102)</f>
        <v>2072.4975164562734</v>
      </c>
    </row>
    <row r="95" spans="1:15" x14ac:dyDescent="0.25">
      <c r="A95">
        <v>93</v>
      </c>
      <c r="B95" s="1">
        <f t="shared" si="12"/>
        <v>53391.483543408183</v>
      </c>
      <c r="C95" s="1">
        <f t="shared" si="13"/>
        <v>15180.266601061812</v>
      </c>
      <c r="D95" s="2">
        <v>0.28432000000000002</v>
      </c>
      <c r="E95" s="3">
        <f t="shared" si="14"/>
        <v>0.71567999999999998</v>
      </c>
      <c r="F95" s="1">
        <f t="shared" si="15"/>
        <v>45801.350242877277</v>
      </c>
      <c r="G95" s="1">
        <f>SUM(F95:$F$102)</f>
        <v>130244.09966697877</v>
      </c>
      <c r="H95">
        <f t="shared" si="16"/>
        <v>0.33143709782710057</v>
      </c>
      <c r="I95" s="1">
        <f t="shared" si="17"/>
        <v>2.4394171321553202</v>
      </c>
      <c r="J95" s="1">
        <f t="shared" si="10"/>
        <v>571.30388173154233</v>
      </c>
      <c r="K95" s="1">
        <f>SUM(J95:$J$102)</f>
        <v>1559.6644000042706</v>
      </c>
      <c r="L95" s="1">
        <f>SUM(K95:$K$102)</f>
        <v>3822.4908316241599</v>
      </c>
      <c r="M95" s="1">
        <f t="shared" si="11"/>
        <v>154.69820919420198</v>
      </c>
      <c r="N95" s="1">
        <f>SUM(M95:$M$102)</f>
        <v>497.03414839800558</v>
      </c>
      <c r="O95" s="1">
        <f>SUM(N95:$N$102)</f>
        <v>1377.6410270697868</v>
      </c>
    </row>
    <row r="96" spans="1:15" x14ac:dyDescent="0.25">
      <c r="A96">
        <v>94</v>
      </c>
      <c r="B96" s="1">
        <f t="shared" si="12"/>
        <v>38211.216942346371</v>
      </c>
      <c r="C96" s="1">
        <f t="shared" si="13"/>
        <v>11989.304272698366</v>
      </c>
      <c r="D96" s="2">
        <v>0.31376399999999999</v>
      </c>
      <c r="E96" s="3">
        <f t="shared" si="14"/>
        <v>0.68623600000000007</v>
      </c>
      <c r="F96" s="1">
        <f t="shared" si="15"/>
        <v>32216.564805997186</v>
      </c>
      <c r="G96" s="1">
        <f>SUM(F96:$F$102)</f>
        <v>84442.749424101494</v>
      </c>
      <c r="H96">
        <f t="shared" si="16"/>
        <v>0.37214719647783584</v>
      </c>
      <c r="I96" s="1">
        <f t="shared" si="17"/>
        <v>2.2098942713996763</v>
      </c>
      <c r="J96" s="1">
        <f t="shared" si="10"/>
        <v>389.40072578821929</v>
      </c>
      <c r="K96" s="1">
        <f>SUM(J96:$J$102)</f>
        <v>988.36051827272843</v>
      </c>
      <c r="L96" s="1">
        <f>SUM(K96:$K$102)</f>
        <v>2262.8264316198897</v>
      </c>
      <c r="M96" s="1">
        <f t="shared" si="11"/>
        <v>116.36183745353792</v>
      </c>
      <c r="N96" s="1">
        <f>SUM(M96:$M$102)</f>
        <v>342.3359392038036</v>
      </c>
      <c r="O96" s="1">
        <f>SUM(N96:$N$102)</f>
        <v>880.60687867178126</v>
      </c>
    </row>
    <row r="97" spans="1:15" x14ac:dyDescent="0.25">
      <c r="A97">
        <v>95</v>
      </c>
      <c r="B97" s="1">
        <f t="shared" si="12"/>
        <v>26221.912669648005</v>
      </c>
      <c r="C97" s="1">
        <f t="shared" si="13"/>
        <v>9061.6112489009392</v>
      </c>
      <c r="D97" s="2">
        <v>0.34557399999999999</v>
      </c>
      <c r="E97" s="3">
        <f t="shared" si="14"/>
        <v>0.65442599999999995</v>
      </c>
      <c r="F97" s="1">
        <f t="shared" si="15"/>
        <v>21691.107045197536</v>
      </c>
      <c r="G97" s="1">
        <f>SUM(F97:$F$102)</f>
        <v>52226.184618104271</v>
      </c>
      <c r="H97">
        <f t="shared" si="16"/>
        <v>0.41775697432221204</v>
      </c>
      <c r="I97" s="1">
        <f t="shared" si="17"/>
        <v>1.9917000440077104</v>
      </c>
      <c r="J97" s="1">
        <f t="shared" si="10"/>
        <v>254.49599663048042</v>
      </c>
      <c r="K97" s="1">
        <f>SUM(J97:$J$102)</f>
        <v>598.95979248450908</v>
      </c>
      <c r="L97" s="1">
        <f>SUM(K97:$K$102)</f>
        <v>1274.4659133471612</v>
      </c>
      <c r="M97" s="1">
        <f t="shared" si="11"/>
        <v>83.759237656744418</v>
      </c>
      <c r="N97" s="1">
        <f>SUM(M97:$M$102)</f>
        <v>225.97410175026567</v>
      </c>
      <c r="O97" s="1">
        <f>SUM(N97:$N$102)</f>
        <v>538.27093946797743</v>
      </c>
    </row>
    <row r="98" spans="1:15" x14ac:dyDescent="0.25">
      <c r="A98">
        <v>96</v>
      </c>
      <c r="B98" s="1">
        <f t="shared" si="12"/>
        <v>17160.301420747066</v>
      </c>
      <c r="C98" s="1">
        <f t="shared" si="13"/>
        <v>6516.4700218159123</v>
      </c>
      <c r="D98" s="2">
        <v>0.379741</v>
      </c>
      <c r="E98" s="3">
        <f t="shared" si="14"/>
        <v>0.620259</v>
      </c>
      <c r="F98" s="1">
        <f t="shared" si="15"/>
        <v>13902.06640983911</v>
      </c>
      <c r="G98" s="1">
        <f>SUM(F98:$F$102)</f>
        <v>30535.077572906743</v>
      </c>
      <c r="H98">
        <f t="shared" si="16"/>
        <v>0.46874110867460084</v>
      </c>
      <c r="I98" s="1">
        <f t="shared" si="17"/>
        <v>1.779402169241</v>
      </c>
      <c r="J98" s="1">
        <f t="shared" si="10"/>
        <v>158.61790199133219</v>
      </c>
      <c r="K98" s="1">
        <f>SUM(J98:$J$102)</f>
        <v>344.4637958540286</v>
      </c>
      <c r="L98" s="1">
        <f>SUM(K98:$K$102)</f>
        <v>675.50612086265221</v>
      </c>
      <c r="M98" s="1">
        <f t="shared" si="11"/>
        <v>57.365448304848073</v>
      </c>
      <c r="N98" s="1">
        <f>SUM(M98:$M$102)</f>
        <v>142.21486409352127</v>
      </c>
      <c r="O98" s="1">
        <f>SUM(N98:$N$102)</f>
        <v>312.29683771771175</v>
      </c>
    </row>
    <row r="99" spans="1:15" x14ac:dyDescent="0.25">
      <c r="A99">
        <v>97</v>
      </c>
      <c r="B99" s="1">
        <f t="shared" si="12"/>
        <v>10643.831398931154</v>
      </c>
      <c r="C99" s="1">
        <f t="shared" si="13"/>
        <v>4429.9519844037468</v>
      </c>
      <c r="D99" s="2">
        <v>0.41619899999999999</v>
      </c>
      <c r="E99" s="3">
        <f t="shared" si="14"/>
        <v>0.58380100000000001</v>
      </c>
      <c r="F99" s="1">
        <f t="shared" si="15"/>
        <v>8428.8554067292807</v>
      </c>
      <c r="G99" s="1">
        <f>SUM(F99:$F$102)</f>
        <v>16633.011163067633</v>
      </c>
      <c r="H99">
        <f t="shared" si="16"/>
        <v>0.52556981590490215</v>
      </c>
      <c r="I99" s="1">
        <f t="shared" si="17"/>
        <v>1.5626902136704184</v>
      </c>
      <c r="J99" s="1">
        <f t="shared" si="10"/>
        <v>93.699220258325425</v>
      </c>
      <c r="K99" s="1">
        <f>SUM(J99:$J$102)</f>
        <v>185.84589386269644</v>
      </c>
      <c r="L99" s="1">
        <f>SUM(K99:$K$102)</f>
        <v>331.04232500862355</v>
      </c>
      <c r="M99" s="1">
        <f t="shared" si="11"/>
        <v>37.140496925995024</v>
      </c>
      <c r="N99" s="1">
        <f>SUM(M99:$M$102)</f>
        <v>84.849415788673198</v>
      </c>
      <c r="O99" s="1">
        <f>SUM(N99:$N$102)</f>
        <v>170.08197362419051</v>
      </c>
    </row>
    <row r="100" spans="1:15" x14ac:dyDescent="0.25">
      <c r="A100">
        <v>98</v>
      </c>
      <c r="B100" s="1">
        <f t="shared" si="12"/>
        <v>6213.8794145274069</v>
      </c>
      <c r="C100" s="1">
        <f t="shared" si="13"/>
        <v>2826.1717797976971</v>
      </c>
      <c r="D100" s="2">
        <v>0.454816</v>
      </c>
      <c r="E100" s="3">
        <f t="shared" si="14"/>
        <v>0.545184</v>
      </c>
      <c r="F100" s="1">
        <f t="shared" si="15"/>
        <v>4800.7935246285579</v>
      </c>
      <c r="G100" s="1">
        <f>SUM(F100:$F$102)</f>
        <v>8204.155756338354</v>
      </c>
      <c r="H100">
        <f t="shared" si="16"/>
        <v>0.58868846687514242</v>
      </c>
      <c r="I100" s="1">
        <f t="shared" si="17"/>
        <v>1.3202952952639999</v>
      </c>
      <c r="J100" s="1">
        <f t="shared" si="10"/>
        <v>52.096855700981564</v>
      </c>
      <c r="K100" s="1">
        <f>SUM(J100:$J$102)</f>
        <v>92.146673604371003</v>
      </c>
      <c r="L100" s="1">
        <f>SUM(K100:$K$102)</f>
        <v>145.19643114592714</v>
      </c>
      <c r="M100" s="1">
        <f t="shared" si="11"/>
        <v>22.566174783331078</v>
      </c>
      <c r="N100" s="1">
        <f>SUM(M100:$M$102)</f>
        <v>47.708918862678182</v>
      </c>
      <c r="O100" s="1">
        <f>SUM(N100:$N$102)</f>
        <v>85.232557835517341</v>
      </c>
    </row>
    <row r="101" spans="1:15" x14ac:dyDescent="0.25">
      <c r="A101">
        <v>99</v>
      </c>
      <c r="B101" s="1">
        <f t="shared" si="12"/>
        <v>3387.7076347297098</v>
      </c>
      <c r="C101" s="1">
        <f t="shared" si="13"/>
        <v>1678.199220384769</v>
      </c>
      <c r="D101" s="2">
        <v>0.49537900000000001</v>
      </c>
      <c r="E101" s="3">
        <f t="shared" si="14"/>
        <v>0.50462099999999999</v>
      </c>
      <c r="F101" s="1">
        <f t="shared" si="15"/>
        <v>2548.608024537325</v>
      </c>
      <c r="G101" s="1">
        <f>SUM(F101:$F$102)</f>
        <v>3403.3622317097952</v>
      </c>
      <c r="H101">
        <f t="shared" si="16"/>
        <v>0.65847678584839653</v>
      </c>
      <c r="I101" s="1">
        <f t="shared" si="17"/>
        <v>1.0046209999999998</v>
      </c>
      <c r="J101" s="1">
        <f t="shared" si="10"/>
        <v>27.049878265222794</v>
      </c>
      <c r="K101" s="1">
        <f>SUM(J101:$J$102)</f>
        <v>40.049817903389453</v>
      </c>
      <c r="L101" s="1">
        <f>SUM(K101:$K$102)</f>
        <v>53.049757541556112</v>
      </c>
      <c r="M101" s="1">
        <f t="shared" si="11"/>
        <v>12.761849185855048</v>
      </c>
      <c r="N101" s="1">
        <f>SUM(M101:$M$102)</f>
        <v>25.142744079347104</v>
      </c>
      <c r="O101" s="1">
        <f>SUM(N101:$N$102)</f>
        <v>37.523638972839159</v>
      </c>
    </row>
    <row r="102" spans="1:15" x14ac:dyDescent="0.25">
      <c r="A102">
        <v>100</v>
      </c>
      <c r="B102" s="1">
        <f t="shared" si="12"/>
        <v>1709.5084143449408</v>
      </c>
      <c r="C102" s="1">
        <f t="shared" si="13"/>
        <v>1709.5084143449408</v>
      </c>
      <c r="D102" s="2">
        <v>1</v>
      </c>
      <c r="E102" s="3">
        <f t="shared" si="14"/>
        <v>0</v>
      </c>
      <c r="F102" s="1">
        <f t="shared" si="15"/>
        <v>854.75420717247039</v>
      </c>
      <c r="G102" s="1">
        <f>SUM(F102:$F$102)</f>
        <v>854.75420717247039</v>
      </c>
      <c r="H102">
        <f t="shared" si="16"/>
        <v>2</v>
      </c>
      <c r="I102" s="1">
        <f t="shared" si="17"/>
        <v>0.5</v>
      </c>
      <c r="J102" s="1">
        <f t="shared" si="10"/>
        <v>12.999939638166657</v>
      </c>
      <c r="K102" s="1">
        <f>SUM(J102:$J$102)</f>
        <v>12.999939638166657</v>
      </c>
      <c r="L102" s="1">
        <f>SUM(K102:$K$102)</f>
        <v>12.999939638166657</v>
      </c>
      <c r="M102" s="1">
        <f t="shared" si="11"/>
        <v>12.380894893492053</v>
      </c>
      <c r="N102" s="1">
        <f>SUM(M102:$M$102)</f>
        <v>12.380894893492053</v>
      </c>
      <c r="O102" s="1">
        <f>SUM(N102:$N$102)</f>
        <v>12.380894893492053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62E79-1CFD-4B25-BD7C-31F93DEB32AC}">
  <sheetPr codeName="Hoja5"/>
  <dimension ref="A1:R102"/>
  <sheetViews>
    <sheetView topLeftCell="L1" workbookViewId="0">
      <selection activeCell="S6" sqref="S6"/>
    </sheetView>
  </sheetViews>
  <sheetFormatPr baseColWidth="10" defaultRowHeight="15" x14ac:dyDescent="0.25"/>
  <cols>
    <col min="17" max="17" width="12.710937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Q1" s="8" t="s">
        <v>118</v>
      </c>
      <c r="R1" s="9"/>
    </row>
    <row r="2" spans="1:18" x14ac:dyDescent="0.25">
      <c r="A2">
        <v>0</v>
      </c>
      <c r="B2">
        <f>R2</f>
        <v>1000000</v>
      </c>
      <c r="C2" s="1">
        <f>B2-B3</f>
        <v>7831</v>
      </c>
      <c r="D2" s="4">
        <v>7.8309999999999994E-3</v>
      </c>
      <c r="E2">
        <f>1-D2</f>
        <v>0.99216899999999997</v>
      </c>
      <c r="F2" s="1">
        <f>(B2+B3)/2</f>
        <v>996084.5</v>
      </c>
      <c r="G2" s="1">
        <f>SUM(F2:$F$102)</f>
        <v>78475196.063210934</v>
      </c>
      <c r="H2">
        <f t="shared" ref="H2:H65" si="0">C2/F2</f>
        <v>7.8617828105948841E-3</v>
      </c>
      <c r="I2" s="1">
        <f t="shared" ref="I2:I65" si="1">G2/B2</f>
        <v>78.47519606321093</v>
      </c>
      <c r="J2" s="1">
        <f t="shared" ref="J2:J33" si="2">($R$5^A2)*B2</f>
        <v>1000000</v>
      </c>
      <c r="K2" s="1">
        <f>SUM(J2:$J$102)</f>
        <v>20216917.790331144</v>
      </c>
      <c r="L2" s="1">
        <f>SUM(K2:$K$102)</f>
        <v>386926900.120745</v>
      </c>
      <c r="M2" s="1">
        <f t="shared" ref="M2:M33" si="3">(($R$5^(1+A2))*C2)</f>
        <v>7458.0952380952376</v>
      </c>
      <c r="N2" s="1">
        <f>SUM(M2:$M$102)</f>
        <v>37289.629031849836</v>
      </c>
      <c r="O2" s="1">
        <f>SUM(N2:$N$102)</f>
        <v>1791827.3083908882</v>
      </c>
      <c r="Q2" s="7" t="s">
        <v>15</v>
      </c>
      <c r="R2" s="7">
        <v>1000000</v>
      </c>
    </row>
    <row r="3" spans="1:18" x14ac:dyDescent="0.25">
      <c r="A3">
        <v>1</v>
      </c>
      <c r="B3" s="1">
        <f>B2*E2</f>
        <v>992169</v>
      </c>
      <c r="C3" s="1">
        <f t="shared" ref="C3:C65" si="4">B3-B4</f>
        <v>327.41577000007965</v>
      </c>
      <c r="D3" s="4">
        <v>3.3E-4</v>
      </c>
      <c r="E3">
        <f t="shared" ref="E3:E65" si="5">1-D3</f>
        <v>0.99966999999999995</v>
      </c>
      <c r="F3" s="1">
        <f t="shared" ref="F3:F65" si="6">(B3+B4)/2</f>
        <v>992005.29211499996</v>
      </c>
      <c r="G3" s="1">
        <f>SUM(F3:$F$102)</f>
        <v>77479111.563210934</v>
      </c>
      <c r="H3">
        <f t="shared" si="0"/>
        <v>3.3005445898581293E-4</v>
      </c>
      <c r="I3" s="1">
        <f t="shared" si="1"/>
        <v>78.090639360039404</v>
      </c>
      <c r="J3" s="1">
        <f t="shared" si="2"/>
        <v>944922.85714285704</v>
      </c>
      <c r="K3" s="1">
        <f>SUM(J3:$J$102)</f>
        <v>19216917.790331144</v>
      </c>
      <c r="L3" s="1">
        <f>SUM(K3:$K$102)</f>
        <v>366709982.33041388</v>
      </c>
      <c r="M3" s="1">
        <f t="shared" si="3"/>
        <v>296.97575510211306</v>
      </c>
      <c r="N3" s="1">
        <f>SUM(M3:$M$102)</f>
        <v>29831.533793754606</v>
      </c>
      <c r="O3" s="1">
        <f>SUM(N3:$N$102)</f>
        <v>1754537.6793590384</v>
      </c>
      <c r="Q3" s="10" t="s">
        <v>16</v>
      </c>
      <c r="R3" s="10">
        <v>100</v>
      </c>
    </row>
    <row r="4" spans="1:18" x14ac:dyDescent="0.25">
      <c r="A4">
        <v>2</v>
      </c>
      <c r="B4" s="1">
        <f t="shared" ref="B4:B66" si="7">B3*E3</f>
        <v>991841.58422999992</v>
      </c>
      <c r="C4" s="1">
        <f t="shared" si="4"/>
        <v>329.29140596440993</v>
      </c>
      <c r="D4" s="4" t="s">
        <v>19</v>
      </c>
      <c r="E4">
        <f t="shared" si="5"/>
        <v>0.999668</v>
      </c>
      <c r="F4" s="1">
        <f t="shared" si="6"/>
        <v>991676.93852701772</v>
      </c>
      <c r="G4" s="1">
        <f>SUM(F4:$F$102)</f>
        <v>76487106.271095932</v>
      </c>
      <c r="H4">
        <f t="shared" si="0"/>
        <v>3.3205512115016129E-4</v>
      </c>
      <c r="I4" s="1">
        <f t="shared" si="1"/>
        <v>77.116252723438137</v>
      </c>
      <c r="J4" s="1">
        <f t="shared" si="2"/>
        <v>899629.55485714274</v>
      </c>
      <c r="K4" s="1">
        <f>SUM(J4:$J$102)</f>
        <v>18271994.933188286</v>
      </c>
      <c r="L4" s="1">
        <f>SUM(K4:$K$102)</f>
        <v>347493064.54008269</v>
      </c>
      <c r="M4" s="1">
        <f t="shared" si="3"/>
        <v>284.45429734534923</v>
      </c>
      <c r="N4" s="1">
        <f>SUM(M4:$M$102)</f>
        <v>29534.558038652496</v>
      </c>
      <c r="O4" s="1">
        <f>SUM(N4:$N$102)</f>
        <v>1724706.1455652837</v>
      </c>
      <c r="Q4" s="10" t="s">
        <v>17</v>
      </c>
      <c r="R4" s="11">
        <v>0.05</v>
      </c>
    </row>
    <row r="5" spans="1:18" x14ac:dyDescent="0.25">
      <c r="A5">
        <v>3</v>
      </c>
      <c r="B5" s="1">
        <f t="shared" si="7"/>
        <v>991512.29282403551</v>
      </c>
      <c r="C5" s="1">
        <f t="shared" si="4"/>
        <v>331.16510580317117</v>
      </c>
      <c r="D5" s="4" t="s">
        <v>20</v>
      </c>
      <c r="E5">
        <f t="shared" si="5"/>
        <v>0.99966600000000005</v>
      </c>
      <c r="F5" s="1">
        <f t="shared" si="6"/>
        <v>991346.71027113392</v>
      </c>
      <c r="G5" s="1">
        <f>SUM(F5:$F$102)</f>
        <v>75495429.332568914</v>
      </c>
      <c r="H5">
        <f t="shared" si="0"/>
        <v>3.3405578731642466E-4</v>
      </c>
      <c r="I5" s="1">
        <f t="shared" si="1"/>
        <v>76.141697767096815</v>
      </c>
      <c r="J5" s="1">
        <f t="shared" si="2"/>
        <v>856505.59794755245</v>
      </c>
      <c r="K5" s="1">
        <f>SUM(J5:$J$102)</f>
        <v>17372365.378331143</v>
      </c>
      <c r="L5" s="1">
        <f>SUM(K5:$K$102)</f>
        <v>329221069.60689449</v>
      </c>
      <c r="M5" s="1">
        <f t="shared" si="3"/>
        <v>272.4503521089843</v>
      </c>
      <c r="N5" s="1">
        <f>SUM(M5:$M$102)</f>
        <v>29250.103741307146</v>
      </c>
      <c r="O5" s="1">
        <f>SUM(N5:$N$102)</f>
        <v>1695171.5875266315</v>
      </c>
      <c r="Q5" s="10" t="s">
        <v>18</v>
      </c>
      <c r="R5" s="10">
        <f>1/(1+R4)</f>
        <v>0.95238095238095233</v>
      </c>
    </row>
    <row r="6" spans="1:18" x14ac:dyDescent="0.25">
      <c r="A6">
        <v>4</v>
      </c>
      <c r="B6" s="1">
        <f t="shared" si="7"/>
        <v>991181.12771823234</v>
      </c>
      <c r="C6" s="1">
        <f t="shared" si="4"/>
        <v>333.03685891337227</v>
      </c>
      <c r="D6" s="4" t="s">
        <v>21</v>
      </c>
      <c r="E6">
        <f t="shared" si="5"/>
        <v>0.999664</v>
      </c>
      <c r="F6" s="1">
        <f t="shared" si="6"/>
        <v>991014.60928877559</v>
      </c>
      <c r="G6" s="1">
        <f>SUM(F6:$F$102)</f>
        <v>74504082.622297794</v>
      </c>
      <c r="H6">
        <f t="shared" si="0"/>
        <v>3.3605645748490412E-4</v>
      </c>
      <c r="I6" s="1">
        <f t="shared" si="1"/>
        <v>75.166970535255601</v>
      </c>
      <c r="J6" s="1">
        <f t="shared" si="2"/>
        <v>815447.16674079804</v>
      </c>
      <c r="K6" s="1">
        <f>SUM(J6:$J$102)</f>
        <v>16515859.780383591</v>
      </c>
      <c r="L6" s="1">
        <f>SUM(K6:$K$102)</f>
        <v>311848704.22856337</v>
      </c>
      <c r="M6" s="1">
        <f t="shared" si="3"/>
        <v>260.94309335709158</v>
      </c>
      <c r="N6" s="1">
        <f>SUM(M6:$M$102)</f>
        <v>28977.65338919816</v>
      </c>
      <c r="O6" s="1">
        <f>SUM(N6:$N$102)</f>
        <v>1665921.4837853243</v>
      </c>
    </row>
    <row r="7" spans="1:18" x14ac:dyDescent="0.25">
      <c r="A7">
        <v>5</v>
      </c>
      <c r="B7" s="1">
        <f t="shared" si="7"/>
        <v>990848.09085931897</v>
      </c>
      <c r="C7" s="1">
        <f t="shared" si="4"/>
        <v>334.90665471041575</v>
      </c>
      <c r="D7" s="4" t="s">
        <v>22</v>
      </c>
      <c r="E7">
        <f t="shared" si="5"/>
        <v>0.99966200000000005</v>
      </c>
      <c r="F7" s="1">
        <f t="shared" si="6"/>
        <v>990680.63753196376</v>
      </c>
      <c r="G7" s="1">
        <f>SUM(F7:$F$102)</f>
        <v>73513068.013009012</v>
      </c>
      <c r="H7">
        <f t="shared" si="0"/>
        <v>3.3805713165521533E-4</v>
      </c>
      <c r="I7" s="1">
        <f t="shared" si="1"/>
        <v>74.192067069791051</v>
      </c>
      <c r="J7" s="1">
        <f t="shared" si="2"/>
        <v>776355.40618359344</v>
      </c>
      <c r="K7" s="1">
        <f>SUM(J7:$J$102)</f>
        <v>15700412.613642795</v>
      </c>
      <c r="L7" s="1">
        <f>SUM(K7:$K$102)</f>
        <v>295332844.44817972</v>
      </c>
      <c r="M7" s="1">
        <f t="shared" si="3"/>
        <v>249.91250218097895</v>
      </c>
      <c r="N7" s="1">
        <f>SUM(M7:$M$102)</f>
        <v>28716.710295841069</v>
      </c>
      <c r="O7" s="1">
        <f>SUM(N7:$N$102)</f>
        <v>1636943.830396126</v>
      </c>
      <c r="Q7" s="5"/>
    </row>
    <row r="8" spans="1:18" x14ac:dyDescent="0.25">
      <c r="A8">
        <v>6</v>
      </c>
      <c r="B8" s="1">
        <f t="shared" si="7"/>
        <v>990513.18420460855</v>
      </c>
      <c r="C8" s="1">
        <f t="shared" si="4"/>
        <v>337.76499581383541</v>
      </c>
      <c r="D8" s="4" t="s">
        <v>23</v>
      </c>
      <c r="E8">
        <f t="shared" si="5"/>
        <v>0.99965899999999996</v>
      </c>
      <c r="F8" s="1">
        <f t="shared" si="6"/>
        <v>990344.30170670163</v>
      </c>
      <c r="G8" s="1">
        <f>SUM(F8:$F$102)</f>
        <v>72522387.375477076</v>
      </c>
      <c r="H8">
        <f t="shared" si="0"/>
        <v>3.4105815041471024E-4</v>
      </c>
      <c r="I8" s="1">
        <f t="shared" si="1"/>
        <v>73.216983410183715</v>
      </c>
      <c r="J8" s="1">
        <f t="shared" si="2"/>
        <v>739136.18862505083</v>
      </c>
      <c r="K8" s="1">
        <f>SUM(J8:$J$102)</f>
        <v>14924057.2074592</v>
      </c>
      <c r="L8" s="1">
        <f>SUM(K8:$K$102)</f>
        <v>279632431.83453709</v>
      </c>
      <c r="M8" s="1">
        <f t="shared" si="3"/>
        <v>240.04327649637142</v>
      </c>
      <c r="N8" s="1">
        <f>SUM(M8:$M$102)</f>
        <v>28466.797793660087</v>
      </c>
      <c r="O8" s="1">
        <f>SUM(N8:$N$102)</f>
        <v>1608227.1201002847</v>
      </c>
      <c r="Q8" s="6"/>
    </row>
    <row r="9" spans="1:18" x14ac:dyDescent="0.25">
      <c r="A9">
        <v>7</v>
      </c>
      <c r="B9" s="1">
        <f t="shared" si="7"/>
        <v>990175.41920879472</v>
      </c>
      <c r="C9" s="1">
        <f t="shared" si="4"/>
        <v>340.62034420785494</v>
      </c>
      <c r="D9" s="4" t="s">
        <v>24</v>
      </c>
      <c r="E9">
        <f t="shared" si="5"/>
        <v>0.99965599999999999</v>
      </c>
      <c r="F9" s="1">
        <f t="shared" si="6"/>
        <v>990005.10903669079</v>
      </c>
      <c r="G9" s="1">
        <f>SUM(F9:$F$102)</f>
        <v>71532043.073770374</v>
      </c>
      <c r="H9">
        <f t="shared" si="0"/>
        <v>3.4405917817867659E-4</v>
      </c>
      <c r="I9" s="1">
        <f t="shared" si="1"/>
        <v>72.241788360014496</v>
      </c>
      <c r="J9" s="1">
        <f t="shared" si="2"/>
        <v>703699.18398545671</v>
      </c>
      <c r="K9" s="1">
        <f>SUM(J9:$J$102)</f>
        <v>14184921.018834149</v>
      </c>
      <c r="L9" s="1">
        <f>SUM(K9:$K$102)</f>
        <v>264708374.62707773</v>
      </c>
      <c r="M9" s="1">
        <f t="shared" si="3"/>
        <v>230.54525646763631</v>
      </c>
      <c r="N9" s="1">
        <f>SUM(M9:$M$102)</f>
        <v>28226.754517163718</v>
      </c>
      <c r="O9" s="1">
        <f>SUM(N9:$N$102)</f>
        <v>1579760.3223066246</v>
      </c>
    </row>
    <row r="10" spans="1:18" x14ac:dyDescent="0.25">
      <c r="A10">
        <v>8</v>
      </c>
      <c r="B10" s="1">
        <f t="shared" si="7"/>
        <v>989834.79886458686</v>
      </c>
      <c r="C10" s="1">
        <f t="shared" si="4"/>
        <v>344.46251000487246</v>
      </c>
      <c r="D10" s="4" t="s">
        <v>25</v>
      </c>
      <c r="E10">
        <f t="shared" si="5"/>
        <v>0.99965199999999999</v>
      </c>
      <c r="F10" s="1">
        <f t="shared" si="6"/>
        <v>989662.56760958442</v>
      </c>
      <c r="G10" s="1">
        <f>SUM(F10:$F$102)</f>
        <v>70542037.96473369</v>
      </c>
      <c r="H10">
        <f t="shared" si="0"/>
        <v>3.480605625378778E-4</v>
      </c>
      <c r="I10" s="1">
        <f t="shared" si="1"/>
        <v>71.26647602776805</v>
      </c>
      <c r="J10" s="1">
        <f t="shared" si="2"/>
        <v>669959.15377730073</v>
      </c>
      <c r="K10" s="1">
        <f>SUM(J10:$J$102)</f>
        <v>13481221.834848691</v>
      </c>
      <c r="L10" s="1">
        <f>SUM(K10:$K$102)</f>
        <v>250523453.60824361</v>
      </c>
      <c r="M10" s="1">
        <f t="shared" si="3"/>
        <v>222.04360525190293</v>
      </c>
      <c r="N10" s="1">
        <f>SUM(M10:$M$102)</f>
        <v>27996.209260696087</v>
      </c>
      <c r="O10" s="1">
        <f>SUM(N10:$N$102)</f>
        <v>1551533.567789461</v>
      </c>
    </row>
    <row r="11" spans="1:18" x14ac:dyDescent="0.25">
      <c r="A11">
        <v>9</v>
      </c>
      <c r="B11" s="1">
        <f t="shared" si="7"/>
        <v>989490.33635458199</v>
      </c>
      <c r="C11" s="1">
        <f t="shared" si="4"/>
        <v>347.31110806041397</v>
      </c>
      <c r="D11" s="4" t="s">
        <v>26</v>
      </c>
      <c r="E11">
        <f t="shared" si="5"/>
        <v>0.99964900000000001</v>
      </c>
      <c r="F11" s="1">
        <f t="shared" si="6"/>
        <v>989316.68080055178</v>
      </c>
      <c r="G11" s="1">
        <f>SUM(F11:$F$102)</f>
        <v>69552375.397124112</v>
      </c>
      <c r="H11">
        <f t="shared" si="0"/>
        <v>3.5106161131274061E-4</v>
      </c>
      <c r="I11" s="1">
        <f t="shared" si="1"/>
        <v>70.291111334512465</v>
      </c>
      <c r="J11" s="1">
        <f t="shared" si="2"/>
        <v>637834.29332551069</v>
      </c>
      <c r="K11" s="1">
        <f>SUM(J11:$J$102)</f>
        <v>12811262.681071389</v>
      </c>
      <c r="L11" s="1">
        <f>SUM(K11:$K$102)</f>
        <v>237042231.77339491</v>
      </c>
      <c r="M11" s="1">
        <f t="shared" si="3"/>
        <v>213.21889234021489</v>
      </c>
      <c r="N11" s="1">
        <f>SUM(M11:$M$102)</f>
        <v>27774.16565544418</v>
      </c>
      <c r="O11" s="1">
        <f>SUM(N11:$N$102)</f>
        <v>1523537.3585287649</v>
      </c>
    </row>
    <row r="12" spans="1:18" x14ac:dyDescent="0.25">
      <c r="A12">
        <v>10</v>
      </c>
      <c r="B12" s="1">
        <f t="shared" si="7"/>
        <v>989143.02524652157</v>
      </c>
      <c r="C12" s="1">
        <f t="shared" si="4"/>
        <v>351.14577396248933</v>
      </c>
      <c r="D12" s="4" t="s">
        <v>27</v>
      </c>
      <c r="E12">
        <f t="shared" si="5"/>
        <v>0.99964500000000001</v>
      </c>
      <c r="F12" s="1">
        <f t="shared" si="6"/>
        <v>988967.45235954039</v>
      </c>
      <c r="G12" s="1">
        <f>SUM(F12:$F$102)</f>
        <v>68563058.716323555</v>
      </c>
      <c r="H12">
        <f t="shared" si="0"/>
        <v>3.5506302368667824E-4</v>
      </c>
      <c r="I12" s="1">
        <f t="shared" si="1"/>
        <v>69.315616615944649</v>
      </c>
      <c r="J12" s="1">
        <f t="shared" si="2"/>
        <v>607248.01284624124</v>
      </c>
      <c r="K12" s="1">
        <f>SUM(J12:$J$102)</f>
        <v>12173428.38774588</v>
      </c>
      <c r="L12" s="1">
        <f>SUM(K12:$K$102)</f>
        <v>224230969.09232351</v>
      </c>
      <c r="M12" s="1">
        <f t="shared" si="3"/>
        <v>205.30766148609507</v>
      </c>
      <c r="N12" s="1">
        <f>SUM(M12:$M$102)</f>
        <v>27560.946763103966</v>
      </c>
      <c r="O12" s="1">
        <f>SUM(N12:$N$102)</f>
        <v>1495763.1928733208</v>
      </c>
    </row>
    <row r="13" spans="1:18" x14ac:dyDescent="0.25">
      <c r="A13">
        <v>11</v>
      </c>
      <c r="B13" s="1">
        <f t="shared" si="7"/>
        <v>988791.87947255909</v>
      </c>
      <c r="C13" s="1">
        <f t="shared" si="4"/>
        <v>355.96507661009673</v>
      </c>
      <c r="D13" s="4" t="s">
        <v>28</v>
      </c>
      <c r="E13">
        <f t="shared" si="5"/>
        <v>0.99963999999999997</v>
      </c>
      <c r="F13" s="1">
        <f t="shared" si="6"/>
        <v>988613.89693425409</v>
      </c>
      <c r="G13" s="1">
        <f>SUM(F13:$F$102)</f>
        <v>67574091.263964012</v>
      </c>
      <c r="H13">
        <f t="shared" si="0"/>
        <v>3.6006481166607506E-4</v>
      </c>
      <c r="I13" s="1">
        <f t="shared" si="1"/>
        <v>68.340054835411223</v>
      </c>
      <c r="J13" s="1">
        <f t="shared" si="2"/>
        <v>578126.13314445806</v>
      </c>
      <c r="K13" s="1">
        <f>SUM(J13:$J$102)</f>
        <v>11566180.374899639</v>
      </c>
      <c r="L13" s="1">
        <f>SUM(K13:$K$102)</f>
        <v>212057540.70457765</v>
      </c>
      <c r="M13" s="1">
        <f t="shared" si="3"/>
        <v>198.21467422094335</v>
      </c>
      <c r="N13" s="1">
        <f>SUM(M13:$M$102)</f>
        <v>27355.639101617875</v>
      </c>
      <c r="O13" s="1">
        <f>SUM(N13:$N$102)</f>
        <v>1468202.2461102165</v>
      </c>
    </row>
    <row r="14" spans="1:18" x14ac:dyDescent="0.25">
      <c r="A14">
        <v>12</v>
      </c>
      <c r="B14" s="1">
        <f t="shared" si="7"/>
        <v>988435.91439594899</v>
      </c>
      <c r="C14" s="1">
        <f t="shared" si="4"/>
        <v>360.7791087544756</v>
      </c>
      <c r="D14" s="4" t="s">
        <v>29</v>
      </c>
      <c r="E14">
        <f t="shared" si="5"/>
        <v>0.99963500000000005</v>
      </c>
      <c r="F14" s="1">
        <f t="shared" si="6"/>
        <v>988255.52484157169</v>
      </c>
      <c r="G14" s="1">
        <f>SUM(F14:$F$102)</f>
        <v>66585477.367029764</v>
      </c>
      <c r="H14">
        <f t="shared" si="0"/>
        <v>3.6506662465895395E-4</v>
      </c>
      <c r="I14" s="1">
        <f t="shared" si="1"/>
        <v>67.36448605038936</v>
      </c>
      <c r="J14" s="1">
        <f t="shared" si="2"/>
        <v>550398.10260621528</v>
      </c>
      <c r="K14" s="1">
        <f>SUM(J14:$J$102)</f>
        <v>10988054.241755178</v>
      </c>
      <c r="L14" s="1">
        <f>SUM(K14:$K$102)</f>
        <v>200491360.32967797</v>
      </c>
      <c r="M14" s="1">
        <f t="shared" si="3"/>
        <v>191.32886423927908</v>
      </c>
      <c r="N14" s="1">
        <f>SUM(M14:$M$102)</f>
        <v>27157.424427396923</v>
      </c>
      <c r="O14" s="1">
        <f>SUM(N14:$N$102)</f>
        <v>1440846.6070085987</v>
      </c>
    </row>
    <row r="15" spans="1:18" x14ac:dyDescent="0.25">
      <c r="A15">
        <v>13</v>
      </c>
      <c r="B15" s="1">
        <f t="shared" si="7"/>
        <v>988075.13528719451</v>
      </c>
      <c r="C15" s="1">
        <f t="shared" si="4"/>
        <v>366.57587519160006</v>
      </c>
      <c r="D15" s="4" t="s">
        <v>30</v>
      </c>
      <c r="E15">
        <f t="shared" si="5"/>
        <v>0.99962899999999999</v>
      </c>
      <c r="F15" s="1">
        <f t="shared" si="6"/>
        <v>987891.84734959877</v>
      </c>
      <c r="G15" s="1">
        <f>SUM(F15:$F$102)</f>
        <v>65597221.842188194</v>
      </c>
      <c r="H15">
        <f t="shared" si="0"/>
        <v>3.7106883326862284E-4</v>
      </c>
      <c r="I15" s="1">
        <f t="shared" si="1"/>
        <v>66.388900499071525</v>
      </c>
      <c r="J15" s="1">
        <f t="shared" si="2"/>
        <v>523997.34028453712</v>
      </c>
      <c r="K15" s="1">
        <f>SUM(J15:$J$102)</f>
        <v>10437656.139148964</v>
      </c>
      <c r="L15" s="1">
        <f>SUM(K15:$K$102)</f>
        <v>189503306.08792284</v>
      </c>
      <c r="M15" s="1">
        <f t="shared" si="3"/>
        <v>185.14572690056212</v>
      </c>
      <c r="N15" s="1">
        <f>SUM(M15:$M$102)</f>
        <v>26966.095563157651</v>
      </c>
      <c r="O15" s="1">
        <f>SUM(N15:$N$102)</f>
        <v>1413689.1825812019</v>
      </c>
    </row>
    <row r="16" spans="1:18" x14ac:dyDescent="0.25">
      <c r="A16">
        <v>14</v>
      </c>
      <c r="B16" s="1">
        <f t="shared" si="7"/>
        <v>987708.55941200291</v>
      </c>
      <c r="C16" s="1">
        <f t="shared" si="4"/>
        <v>372.36612689832691</v>
      </c>
      <c r="D16" s="4" t="s">
        <v>31</v>
      </c>
      <c r="E16">
        <f t="shared" si="5"/>
        <v>0.99962300000000004</v>
      </c>
      <c r="F16" s="1">
        <f t="shared" si="6"/>
        <v>987522.37634855369</v>
      </c>
      <c r="G16" s="1">
        <f>SUM(F16:$F$102)</f>
        <v>64609329.994838588</v>
      </c>
      <c r="H16">
        <f t="shared" si="0"/>
        <v>3.7707107789818566E-4</v>
      </c>
      <c r="I16" s="1">
        <f t="shared" si="1"/>
        <v>65.41335435353669</v>
      </c>
      <c r="J16" s="1">
        <f t="shared" si="2"/>
        <v>498859.94025837281</v>
      </c>
      <c r="K16" s="1">
        <f>SUM(J16:$J$102)</f>
        <v>9913658.7988644261</v>
      </c>
      <c r="L16" s="1">
        <f>SUM(K16:$K$102)</f>
        <v>179065649.94877383</v>
      </c>
      <c r="M16" s="1">
        <f t="shared" si="3"/>
        <v>179.1144737880071</v>
      </c>
      <c r="N16" s="1">
        <f>SUM(M16:$M$102)</f>
        <v>26780.949836257088</v>
      </c>
      <c r="O16" s="1">
        <f>SUM(N16:$N$102)</f>
        <v>1386723.0870180442</v>
      </c>
    </row>
    <row r="17" spans="1:15" x14ac:dyDescent="0.25">
      <c r="A17">
        <v>15</v>
      </c>
      <c r="B17" s="1">
        <f t="shared" si="7"/>
        <v>987336.19328510459</v>
      </c>
      <c r="C17" s="1">
        <f t="shared" si="4"/>
        <v>380.12443441478536</v>
      </c>
      <c r="D17" s="4" t="s">
        <v>32</v>
      </c>
      <c r="E17">
        <f t="shared" si="5"/>
        <v>0.99961500000000003</v>
      </c>
      <c r="F17" s="1">
        <f t="shared" si="6"/>
        <v>987146.13106789719</v>
      </c>
      <c r="G17" s="1">
        <f>SUM(F17:$F$102)</f>
        <v>63621807.61849004</v>
      </c>
      <c r="H17">
        <f t="shared" si="0"/>
        <v>3.8507412676942347E-4</v>
      </c>
      <c r="I17" s="1">
        <f t="shared" si="1"/>
        <v>64.43783591767766</v>
      </c>
      <c r="J17" s="1">
        <f t="shared" si="2"/>
        <v>474925.59053418611</v>
      </c>
      <c r="K17" s="1">
        <f>SUM(J17:$J$102)</f>
        <v>9414798.8586060498</v>
      </c>
      <c r="L17" s="1">
        <f>SUM(K17:$K$102)</f>
        <v>169151991.14990941</v>
      </c>
      <c r="M17" s="1">
        <f t="shared" si="3"/>
        <v>174.13938319587746</v>
      </c>
      <c r="N17" s="1">
        <f>SUM(M17:$M$102)</f>
        <v>26601.835362469079</v>
      </c>
      <c r="O17" s="1">
        <f>SUM(N17:$N$102)</f>
        <v>1359942.1371817871</v>
      </c>
    </row>
    <row r="18" spans="1:15" x14ac:dyDescent="0.25">
      <c r="A18">
        <v>16</v>
      </c>
      <c r="B18" s="1">
        <f t="shared" si="7"/>
        <v>986956.0688506898</v>
      </c>
      <c r="C18" s="1">
        <f t="shared" si="4"/>
        <v>386.88677898945753</v>
      </c>
      <c r="D18" s="4" t="s">
        <v>33</v>
      </c>
      <c r="E18">
        <f t="shared" si="5"/>
        <v>0.99960800000000005</v>
      </c>
      <c r="F18" s="1">
        <f t="shared" si="6"/>
        <v>986762.62546119513</v>
      </c>
      <c r="G18" s="1">
        <f>SUM(F18:$F$102)</f>
        <v>62634661.487422138</v>
      </c>
      <c r="H18">
        <f t="shared" si="0"/>
        <v>3.9207684706201107E-4</v>
      </c>
      <c r="I18" s="1">
        <f t="shared" si="1"/>
        <v>63.462461465341811</v>
      </c>
      <c r="J18" s="1">
        <f t="shared" si="2"/>
        <v>452135.94683983852</v>
      </c>
      <c r="K18" s="1">
        <f>SUM(J18:$J$102)</f>
        <v>8939873.2680718638</v>
      </c>
      <c r="L18" s="1">
        <f>SUM(K18:$K$102)</f>
        <v>159737192.29130337</v>
      </c>
      <c r="M18" s="1">
        <f t="shared" si="3"/>
        <v>168.79742015353409</v>
      </c>
      <c r="N18" s="1">
        <f>SUM(M18:$M$102)</f>
        <v>26427.695979273201</v>
      </c>
      <c r="O18" s="1">
        <f>SUM(N18:$N$102)</f>
        <v>1333340.301819318</v>
      </c>
    </row>
    <row r="19" spans="1:15" x14ac:dyDescent="0.25">
      <c r="A19">
        <v>17</v>
      </c>
      <c r="B19" s="1">
        <f t="shared" si="7"/>
        <v>986569.18207170034</v>
      </c>
      <c r="C19" s="1">
        <f t="shared" si="4"/>
        <v>395.61424201074988</v>
      </c>
      <c r="D19" s="4" t="s">
        <v>34</v>
      </c>
      <c r="E19">
        <f t="shared" si="5"/>
        <v>0.99959900000000002</v>
      </c>
      <c r="F19" s="1">
        <f t="shared" si="6"/>
        <v>986371.37495069497</v>
      </c>
      <c r="G19" s="1">
        <f>SUM(F19:$F$102)</f>
        <v>61647898.86196094</v>
      </c>
      <c r="H19">
        <f t="shared" si="0"/>
        <v>4.0108041662353103E-4</v>
      </c>
      <c r="I19" s="1">
        <f t="shared" si="1"/>
        <v>62.48715242909401</v>
      </c>
      <c r="J19" s="1">
        <f t="shared" si="2"/>
        <v>430436.86623683549</v>
      </c>
      <c r="K19" s="1">
        <f>SUM(J19:$J$102)</f>
        <v>8487737.3212320227</v>
      </c>
      <c r="L19" s="1">
        <f>SUM(K19:$K$102)</f>
        <v>150797319.02323148</v>
      </c>
      <c r="M19" s="1">
        <f t="shared" si="3"/>
        <v>164.3858889152097</v>
      </c>
      <c r="N19" s="1">
        <f>SUM(M19:$M$102)</f>
        <v>26258.898559119669</v>
      </c>
      <c r="O19" s="1">
        <f>SUM(N19:$N$102)</f>
        <v>1306912.605840045</v>
      </c>
    </row>
    <row r="20" spans="1:15" x14ac:dyDescent="0.25">
      <c r="A20">
        <v>18</v>
      </c>
      <c r="B20" s="1">
        <f t="shared" si="7"/>
        <v>986173.56782968959</v>
      </c>
      <c r="C20" s="1">
        <f t="shared" si="4"/>
        <v>405.317336378037</v>
      </c>
      <c r="D20" s="4" t="s">
        <v>35</v>
      </c>
      <c r="E20">
        <f t="shared" si="5"/>
        <v>0.99958899999999995</v>
      </c>
      <c r="F20" s="1">
        <f t="shared" si="6"/>
        <v>985970.90916150063</v>
      </c>
      <c r="G20" s="1">
        <f>SUM(F20:$F$102)</f>
        <v>60661527.487010248</v>
      </c>
      <c r="H20">
        <f t="shared" si="0"/>
        <v>4.1108447786023531E-4</v>
      </c>
      <c r="I20" s="1">
        <f t="shared" si="1"/>
        <v>61.512019248812784</v>
      </c>
      <c r="J20" s="1">
        <f t="shared" si="2"/>
        <v>409775.48671759479</v>
      </c>
      <c r="K20" s="1">
        <f>SUM(J20:$J$102)</f>
        <v>8057300.4549951917</v>
      </c>
      <c r="L20" s="1">
        <f>SUM(K20:$K$102)</f>
        <v>142309581.70199946</v>
      </c>
      <c r="M20" s="1">
        <f t="shared" si="3"/>
        <v>160.39783337232936</v>
      </c>
      <c r="N20" s="1">
        <f>SUM(M20:$M$102)</f>
        <v>26094.512670204458</v>
      </c>
      <c r="O20" s="1">
        <f>SUM(N20:$N$102)</f>
        <v>1280653.7072809252</v>
      </c>
    </row>
    <row r="21" spans="1:15" x14ac:dyDescent="0.25">
      <c r="A21">
        <v>19</v>
      </c>
      <c r="B21" s="1">
        <f t="shared" si="7"/>
        <v>985768.25049331156</v>
      </c>
      <c r="C21" s="1">
        <f t="shared" si="4"/>
        <v>415.99420170823578</v>
      </c>
      <c r="D21" s="4" t="s">
        <v>36</v>
      </c>
      <c r="E21">
        <f t="shared" si="5"/>
        <v>0.99957799999999997</v>
      </c>
      <c r="F21" s="1">
        <f t="shared" si="6"/>
        <v>985560.2533924575</v>
      </c>
      <c r="G21" s="1">
        <f>SUM(F21:$F$102)</f>
        <v>59675556.577848747</v>
      </c>
      <c r="H21">
        <f t="shared" si="0"/>
        <v>4.2208906079188623E-4</v>
      </c>
      <c r="I21" s="1">
        <f t="shared" si="1"/>
        <v>60.537105499172945</v>
      </c>
      <c r="J21" s="1">
        <f t="shared" si="2"/>
        <v>390101.97046909889</v>
      </c>
      <c r="K21" s="1">
        <f>SUM(J21:$J$102)</f>
        <v>7647524.9682775969</v>
      </c>
      <c r="L21" s="1">
        <f>SUM(K21:$K$102)</f>
        <v>134252281.2470043</v>
      </c>
      <c r="M21" s="1">
        <f t="shared" si="3"/>
        <v>156.78383955998362</v>
      </c>
      <c r="N21" s="1">
        <f>SUM(M21:$M$102)</f>
        <v>25934.11483683213</v>
      </c>
      <c r="O21" s="1">
        <f>SUM(N21:$N$102)</f>
        <v>1254559.1946107207</v>
      </c>
    </row>
    <row r="22" spans="1:15" x14ac:dyDescent="0.25">
      <c r="A22">
        <v>20</v>
      </c>
      <c r="B22" s="1">
        <f t="shared" si="7"/>
        <v>985352.25629160332</v>
      </c>
      <c r="C22" s="1">
        <f t="shared" si="4"/>
        <v>427.64287923055235</v>
      </c>
      <c r="D22" s="4" t="s">
        <v>37</v>
      </c>
      <c r="E22">
        <f t="shared" si="5"/>
        <v>0.99956599999999995</v>
      </c>
      <c r="F22" s="1">
        <f t="shared" si="6"/>
        <v>985138.43485198799</v>
      </c>
      <c r="G22" s="1">
        <f>SUM(F22:$F$102)</f>
        <v>58689996.324456289</v>
      </c>
      <c r="H22">
        <f t="shared" si="0"/>
        <v>4.3409419844105818E-4</v>
      </c>
      <c r="I22" s="1">
        <f t="shared" si="1"/>
        <v>59.562451853855279</v>
      </c>
      <c r="J22" s="1">
        <f t="shared" si="2"/>
        <v>371368.90232148656</v>
      </c>
      <c r="K22" s="1">
        <f>SUM(J22:$J$102)</f>
        <v>7257422.9978084965</v>
      </c>
      <c r="L22" s="1">
        <f>SUM(K22:$K$102)</f>
        <v>126604756.2787267</v>
      </c>
      <c r="M22" s="1">
        <f t="shared" si="3"/>
        <v>153.49914629287983</v>
      </c>
      <c r="N22" s="1">
        <f>SUM(M22:$M$102)</f>
        <v>25777.330997272147</v>
      </c>
      <c r="O22" s="1">
        <f>SUM(N22:$N$102)</f>
        <v>1228625.0797738882</v>
      </c>
    </row>
    <row r="23" spans="1:15" x14ac:dyDescent="0.25">
      <c r="A23">
        <v>21</v>
      </c>
      <c r="B23" s="1">
        <f t="shared" si="7"/>
        <v>984924.61341237277</v>
      </c>
      <c r="C23" s="1">
        <f t="shared" si="4"/>
        <v>441.24622680875473</v>
      </c>
      <c r="D23" s="4" t="s">
        <v>38</v>
      </c>
      <c r="E23">
        <f t="shared" si="5"/>
        <v>0.999552</v>
      </c>
      <c r="F23" s="1">
        <f t="shared" si="6"/>
        <v>984703.99029896839</v>
      </c>
      <c r="G23" s="1">
        <f>SUM(F23:$F$102)</f>
        <v>57704857.889604308</v>
      </c>
      <c r="H23">
        <f t="shared" si="0"/>
        <v>4.4810037448389631E-4</v>
      </c>
      <c r="I23" s="1">
        <f t="shared" si="1"/>
        <v>58.588096087557282</v>
      </c>
      <c r="J23" s="1">
        <f t="shared" si="2"/>
        <v>353531.1697313133</v>
      </c>
      <c r="K23" s="1">
        <f>SUM(J23:$J$102)</f>
        <v>6886054.0954870107</v>
      </c>
      <c r="L23" s="1">
        <f>SUM(K23:$K$102)</f>
        <v>119347333.28091821</v>
      </c>
      <c r="M23" s="1">
        <f t="shared" si="3"/>
        <v>150.83996575203105</v>
      </c>
      <c r="N23" s="1">
        <f>SUM(M23:$M$102)</f>
        <v>25623.831850979266</v>
      </c>
      <c r="O23" s="1">
        <f>SUM(N23:$N$102)</f>
        <v>1202847.7487766161</v>
      </c>
    </row>
    <row r="24" spans="1:15" x14ac:dyDescent="0.25">
      <c r="A24">
        <v>22</v>
      </c>
      <c r="B24" s="1">
        <f t="shared" si="7"/>
        <v>984483.36718556401</v>
      </c>
      <c r="C24" s="1">
        <f t="shared" si="4"/>
        <v>455.81579900695942</v>
      </c>
      <c r="D24" s="4" t="s">
        <v>39</v>
      </c>
      <c r="E24">
        <f t="shared" si="5"/>
        <v>0.99953700000000001</v>
      </c>
      <c r="F24" s="1">
        <f t="shared" si="6"/>
        <v>984255.45928606053</v>
      </c>
      <c r="G24" s="1">
        <f>SUM(F24:$F$102)</f>
        <v>56720153.899305336</v>
      </c>
      <c r="H24">
        <f t="shared" si="0"/>
        <v>4.6310720931900135E-4</v>
      </c>
      <c r="I24" s="1">
        <f t="shared" si="1"/>
        <v>57.614131218343097</v>
      </c>
      <c r="J24" s="1">
        <f t="shared" si="2"/>
        <v>336545.5121593083</v>
      </c>
      <c r="K24" s="1">
        <f>SUM(J24:$J$102)</f>
        <v>6532522.9257556973</v>
      </c>
      <c r="L24" s="1">
        <f>SUM(K24:$K$102)</f>
        <v>112461279.1854312</v>
      </c>
      <c r="M24" s="1">
        <f t="shared" si="3"/>
        <v>148.40054488549953</v>
      </c>
      <c r="N24" s="1">
        <f>SUM(M24:$M$102)</f>
        <v>25472.991885227239</v>
      </c>
      <c r="O24" s="1">
        <f>SUM(N24:$N$102)</f>
        <v>1177223.9169256368</v>
      </c>
    </row>
    <row r="25" spans="1:15" x14ac:dyDescent="0.25">
      <c r="A25">
        <v>23</v>
      </c>
      <c r="B25" s="1">
        <f t="shared" si="7"/>
        <v>984027.55138655705</v>
      </c>
      <c r="C25" s="1">
        <f t="shared" si="4"/>
        <v>471.34919711411931</v>
      </c>
      <c r="D25" s="4" t="s">
        <v>40</v>
      </c>
      <c r="E25">
        <f t="shared" si="5"/>
        <v>0.99952099999999999</v>
      </c>
      <c r="F25" s="1">
        <f t="shared" si="6"/>
        <v>983791.87678799999</v>
      </c>
      <c r="G25" s="1">
        <f>SUM(F25:$F$102)</f>
        <v>55735898.440019272</v>
      </c>
      <c r="H25">
        <f t="shared" si="0"/>
        <v>4.7911474798209948E-4</v>
      </c>
      <c r="I25" s="1">
        <f t="shared" si="1"/>
        <v>56.640587310267755</v>
      </c>
      <c r="J25" s="1">
        <f t="shared" si="2"/>
        <v>320371.13484493189</v>
      </c>
      <c r="K25" s="1">
        <f>SUM(J25:$J$102)</f>
        <v>6195977.4135963889</v>
      </c>
      <c r="L25" s="1">
        <f>SUM(K25:$K$102)</f>
        <v>105928756.2596755</v>
      </c>
      <c r="M25" s="1">
        <f t="shared" si="3"/>
        <v>146.15026056257986</v>
      </c>
      <c r="N25" s="1">
        <f>SUM(M25:$M$102)</f>
        <v>25324.591340341736</v>
      </c>
      <c r="O25" s="1">
        <f>SUM(N25:$N$102)</f>
        <v>1151750.9250404097</v>
      </c>
    </row>
    <row r="26" spans="1:15" x14ac:dyDescent="0.25">
      <c r="A26">
        <v>24</v>
      </c>
      <c r="B26" s="1">
        <f t="shared" si="7"/>
        <v>983556.20218944293</v>
      </c>
      <c r="C26" s="1">
        <f t="shared" si="4"/>
        <v>489.81098869035486</v>
      </c>
      <c r="D26" s="4" t="s">
        <v>41</v>
      </c>
      <c r="E26">
        <f t="shared" si="5"/>
        <v>0.999502</v>
      </c>
      <c r="F26" s="1">
        <f t="shared" si="6"/>
        <v>983311.29669509782</v>
      </c>
      <c r="G26" s="1">
        <f>SUM(F26:$F$102)</f>
        <v>54752106.563231267</v>
      </c>
      <c r="H26">
        <f t="shared" si="0"/>
        <v>4.9812403288420064E-4</v>
      </c>
      <c r="I26" s="1">
        <f t="shared" si="1"/>
        <v>55.667491538714792</v>
      </c>
      <c r="J26" s="1">
        <f t="shared" si="2"/>
        <v>304969.21625842014</v>
      </c>
      <c r="K26" s="1">
        <f>SUM(J26:$J$102)</f>
        <v>5875606.2787514562</v>
      </c>
      <c r="L26" s="1">
        <f>SUM(K26:$K$102)</f>
        <v>99732778.846079111</v>
      </c>
      <c r="M26" s="1">
        <f t="shared" si="3"/>
        <v>144.64254256828292</v>
      </c>
      <c r="N26" s="1">
        <f>SUM(M26:$M$102)</f>
        <v>25178.441079779157</v>
      </c>
      <c r="O26" s="1">
        <f>SUM(N26:$N$102)</f>
        <v>1126426.3337000681</v>
      </c>
    </row>
    <row r="27" spans="1:15" x14ac:dyDescent="0.25">
      <c r="A27">
        <v>25</v>
      </c>
      <c r="B27" s="1">
        <f t="shared" si="7"/>
        <v>983066.39120075258</v>
      </c>
      <c r="C27" s="1">
        <f t="shared" si="4"/>
        <v>510.21145703329239</v>
      </c>
      <c r="D27" s="4" t="s">
        <v>42</v>
      </c>
      <c r="E27">
        <f t="shared" si="5"/>
        <v>0.99948099999999995</v>
      </c>
      <c r="F27" s="1">
        <f t="shared" si="6"/>
        <v>982811.28547223588</v>
      </c>
      <c r="G27" s="1">
        <f>SUM(F27:$F$102)</f>
        <v>53768795.266536161</v>
      </c>
      <c r="H27">
        <f t="shared" si="0"/>
        <v>5.1913471545876513E-4</v>
      </c>
      <c r="I27" s="1">
        <f t="shared" si="1"/>
        <v>54.694978638076542</v>
      </c>
      <c r="J27" s="1">
        <f t="shared" si="2"/>
        <v>290302.23008449853</v>
      </c>
      <c r="K27" s="1">
        <f>SUM(J27:$J$102)</f>
        <v>5570637.0624930365</v>
      </c>
      <c r="L27" s="1">
        <f>SUM(K27:$K$102)</f>
        <v>93857172.567327648</v>
      </c>
      <c r="M27" s="1">
        <f t="shared" si="3"/>
        <v>143.49224515608077</v>
      </c>
      <c r="N27" s="1">
        <f>SUM(M27:$M$102)</f>
        <v>25033.798537210874</v>
      </c>
      <c r="O27" s="1">
        <f>SUM(N27:$N$102)</f>
        <v>1101247.8926202888</v>
      </c>
    </row>
    <row r="28" spans="1:15" x14ac:dyDescent="0.25">
      <c r="A28">
        <v>26</v>
      </c>
      <c r="B28" s="1">
        <f t="shared" si="7"/>
        <v>982556.17974371929</v>
      </c>
      <c r="C28" s="1">
        <f t="shared" si="4"/>
        <v>532.54544942115899</v>
      </c>
      <c r="D28" s="4" t="s">
        <v>43</v>
      </c>
      <c r="E28">
        <f t="shared" si="5"/>
        <v>0.99945799999999996</v>
      </c>
      <c r="F28" s="1">
        <f t="shared" si="6"/>
        <v>982289.90701900865</v>
      </c>
      <c r="G28" s="1">
        <f>SUM(F28:$F$102)</f>
        <v>52785983.981063925</v>
      </c>
      <c r="H28">
        <f t="shared" si="0"/>
        <v>5.4214692181587642E-4</v>
      </c>
      <c r="I28" s="1">
        <f t="shared" si="1"/>
        <v>53.723120437583653</v>
      </c>
      <c r="J28" s="1">
        <f t="shared" si="2"/>
        <v>276334.82212103298</v>
      </c>
      <c r="K28" s="1">
        <f>SUM(J28:$J$102)</f>
        <v>5280334.832408539</v>
      </c>
      <c r="L28" s="1">
        <f>SUM(K28:$K$102)</f>
        <v>88286535.504834622</v>
      </c>
      <c r="M28" s="1">
        <f t="shared" si="3"/>
        <v>142.64140341868347</v>
      </c>
      <c r="N28" s="1">
        <f>SUM(M28:$M$102)</f>
        <v>24890.306292054796</v>
      </c>
      <c r="O28" s="1">
        <f>SUM(N28:$N$102)</f>
        <v>1076214.0940830777</v>
      </c>
    </row>
    <row r="29" spans="1:15" x14ac:dyDescent="0.25">
      <c r="A29">
        <v>27</v>
      </c>
      <c r="B29" s="1">
        <f t="shared" si="7"/>
        <v>982023.63429429813</v>
      </c>
      <c r="C29" s="1">
        <f t="shared" si="4"/>
        <v>557.78942427912261</v>
      </c>
      <c r="D29" s="4" t="s">
        <v>44</v>
      </c>
      <c r="E29">
        <f t="shared" si="5"/>
        <v>0.99943199999999999</v>
      </c>
      <c r="F29" s="1">
        <f t="shared" si="6"/>
        <v>981744.73958215863</v>
      </c>
      <c r="G29" s="1">
        <f>SUM(F29:$F$102)</f>
        <v>51803694.074044913</v>
      </c>
      <c r="H29">
        <f t="shared" si="0"/>
        <v>5.6816135782558294E-4</v>
      </c>
      <c r="I29" s="1">
        <f t="shared" si="1"/>
        <v>52.751983012376364</v>
      </c>
      <c r="J29" s="1">
        <f t="shared" si="2"/>
        <v>263033.37966423179</v>
      </c>
      <c r="K29" s="1">
        <f>SUM(J29:$J$102)</f>
        <v>5004000.0102875056</v>
      </c>
      <c r="L29" s="1">
        <f>SUM(K29:$K$102)</f>
        <v>83006200.67242609</v>
      </c>
      <c r="M29" s="1">
        <f t="shared" si="3"/>
        <v>142.28853299930788</v>
      </c>
      <c r="N29" s="1">
        <f>SUM(M29:$M$102)</f>
        <v>24747.664888636114</v>
      </c>
      <c r="O29" s="1">
        <f>SUM(N29:$N$102)</f>
        <v>1051323.7877910228</v>
      </c>
    </row>
    <row r="30" spans="1:15" x14ac:dyDescent="0.25">
      <c r="A30">
        <v>28</v>
      </c>
      <c r="B30" s="1">
        <f t="shared" si="7"/>
        <v>981465.84487001901</v>
      </c>
      <c r="C30" s="1">
        <f t="shared" si="4"/>
        <v>584.953643542598</v>
      </c>
      <c r="D30" s="4" t="s">
        <v>45</v>
      </c>
      <c r="E30">
        <f t="shared" si="5"/>
        <v>0.99940399999999996</v>
      </c>
      <c r="F30" s="1">
        <f t="shared" si="6"/>
        <v>981173.36804824765</v>
      </c>
      <c r="G30" s="1">
        <f>SUM(F30:$F$102)</f>
        <v>50821949.334462762</v>
      </c>
      <c r="H30">
        <f t="shared" si="0"/>
        <v>5.9617766094302897E-4</v>
      </c>
      <c r="I30" s="1">
        <f t="shared" si="1"/>
        <v>51.781679006051803</v>
      </c>
      <c r="J30" s="1">
        <f t="shared" si="2"/>
        <v>250365.69209960237</v>
      </c>
      <c r="K30" s="1">
        <f>SUM(J30:$J$102)</f>
        <v>4740966.6306232745</v>
      </c>
      <c r="L30" s="1">
        <f>SUM(K30:$K$102)</f>
        <v>78002200.662138581</v>
      </c>
      <c r="M30" s="1">
        <f t="shared" si="3"/>
        <v>142.11233570607621</v>
      </c>
      <c r="N30" s="1">
        <f>SUM(M30:$M$102)</f>
        <v>24605.376355636807</v>
      </c>
      <c r="O30" s="1">
        <f>SUM(N30:$N$102)</f>
        <v>1026576.1229023873</v>
      </c>
    </row>
    <row r="31" spans="1:15" x14ac:dyDescent="0.25">
      <c r="A31">
        <v>29</v>
      </c>
      <c r="B31" s="1">
        <f t="shared" si="7"/>
        <v>980880.89122647641</v>
      </c>
      <c r="C31" s="1">
        <f t="shared" si="4"/>
        <v>615.99319969024509</v>
      </c>
      <c r="D31" s="4" t="s">
        <v>46</v>
      </c>
      <c r="E31">
        <f t="shared" si="5"/>
        <v>0.99937200000000004</v>
      </c>
      <c r="F31" s="1">
        <f t="shared" si="6"/>
        <v>980572.89462663129</v>
      </c>
      <c r="G31" s="1">
        <f>SUM(F31:$F$102)</f>
        <v>49840775.966414511</v>
      </c>
      <c r="H31">
        <f t="shared" si="0"/>
        <v>6.2819725393775477E-4</v>
      </c>
      <c r="I31" s="1">
        <f t="shared" si="1"/>
        <v>50.812261113675554</v>
      </c>
      <c r="J31" s="1">
        <f t="shared" si="2"/>
        <v>238301.40394962949</v>
      </c>
      <c r="K31" s="1">
        <f>SUM(J31:$J$102)</f>
        <v>4490600.9385236716</v>
      </c>
      <c r="L31" s="1">
        <f>SUM(K31:$K$102)</f>
        <v>73261234.031515315</v>
      </c>
      <c r="M31" s="1">
        <f t="shared" si="3"/>
        <v>142.5269349336873</v>
      </c>
      <c r="N31" s="1">
        <f>SUM(M31:$M$102)</f>
        <v>24463.264019930728</v>
      </c>
      <c r="O31" s="1">
        <f>SUM(N31:$N$102)</f>
        <v>1001970.7465467504</v>
      </c>
    </row>
    <row r="32" spans="1:15" x14ac:dyDescent="0.25">
      <c r="A32">
        <v>30</v>
      </c>
      <c r="B32" s="1">
        <f t="shared" si="7"/>
        <v>980264.89802678616</v>
      </c>
      <c r="C32" s="1">
        <f t="shared" si="4"/>
        <v>649.91562739177607</v>
      </c>
      <c r="D32" s="4" t="s">
        <v>47</v>
      </c>
      <c r="E32">
        <f t="shared" si="5"/>
        <v>0.99933700000000003</v>
      </c>
      <c r="F32" s="1">
        <f t="shared" si="6"/>
        <v>979939.94021309027</v>
      </c>
      <c r="G32" s="1">
        <f>SUM(F32:$F$102)</f>
        <v>48860203.071787886</v>
      </c>
      <c r="H32">
        <f t="shared" si="0"/>
        <v>6.6321985738273961E-4</v>
      </c>
      <c r="I32" s="1">
        <f t="shared" si="1"/>
        <v>49.843877068474569</v>
      </c>
      <c r="J32" s="1">
        <f t="shared" si="2"/>
        <v>226811.19111233248</v>
      </c>
      <c r="K32" s="1">
        <f>SUM(J32:$J$102)</f>
        <v>4252299.5345740411</v>
      </c>
      <c r="L32" s="1">
        <f>SUM(K32:$K$102)</f>
        <v>68770633.092991635</v>
      </c>
      <c r="M32" s="1">
        <f t="shared" si="3"/>
        <v>143.21506638807651</v>
      </c>
      <c r="N32" s="1">
        <f>SUM(M32:$M$102)</f>
        <v>24320.737084997039</v>
      </c>
      <c r="O32" s="1">
        <f>SUM(N32:$N$102)</f>
        <v>977507.48252681969</v>
      </c>
    </row>
    <row r="33" spans="1:15" x14ac:dyDescent="0.25">
      <c r="A33">
        <v>31</v>
      </c>
      <c r="B33" s="1">
        <f t="shared" si="7"/>
        <v>979614.98239939439</v>
      </c>
      <c r="C33" s="1">
        <f t="shared" si="4"/>
        <v>688.66933262674138</v>
      </c>
      <c r="D33" s="4" t="s">
        <v>48</v>
      </c>
      <c r="E33">
        <f t="shared" si="5"/>
        <v>0.99929699999999999</v>
      </c>
      <c r="F33" s="1">
        <f t="shared" si="6"/>
        <v>979270.64773308102</v>
      </c>
      <c r="G33" s="1">
        <f>SUM(F33:$F$102)</f>
        <v>47880263.131574795</v>
      </c>
      <c r="H33">
        <f t="shared" si="0"/>
        <v>7.0324719138773926E-4</v>
      </c>
      <c r="I33" s="1">
        <f t="shared" si="1"/>
        <v>48.876613763399703</v>
      </c>
      <c r="J33" s="1">
        <f t="shared" si="2"/>
        <v>215867.44313583334</v>
      </c>
      <c r="K33" s="1">
        <f>SUM(J33:$J$102)</f>
        <v>4025488.3434617091</v>
      </c>
      <c r="L33" s="1">
        <f>SUM(K33:$K$102)</f>
        <v>64518333.558417559</v>
      </c>
      <c r="M33" s="1">
        <f t="shared" si="3"/>
        <v>144.52839288046056</v>
      </c>
      <c r="N33" s="1">
        <f>SUM(M33:$M$102)</f>
        <v>24177.522018608965</v>
      </c>
      <c r="O33" s="1">
        <f>SUM(N33:$N$102)</f>
        <v>953186.74544182257</v>
      </c>
    </row>
    <row r="34" spans="1:15" x14ac:dyDescent="0.25">
      <c r="A34">
        <v>32</v>
      </c>
      <c r="B34" s="1">
        <f t="shared" si="7"/>
        <v>978926.31306676765</v>
      </c>
      <c r="C34" s="1">
        <f t="shared" si="4"/>
        <v>731.25795586092863</v>
      </c>
      <c r="D34" s="4" t="s">
        <v>49</v>
      </c>
      <c r="E34">
        <f t="shared" si="5"/>
        <v>0.99925299999999995</v>
      </c>
      <c r="F34" s="1">
        <f t="shared" si="6"/>
        <v>978560.68408883712</v>
      </c>
      <c r="G34" s="1">
        <f>SUM(F34:$F$102)</f>
        <v>46900992.48384171</v>
      </c>
      <c r="H34">
        <f t="shared" si="0"/>
        <v>7.4727910874717153E-4</v>
      </c>
      <c r="I34" s="1">
        <f t="shared" si="1"/>
        <v>47.910646447852535</v>
      </c>
      <c r="J34" s="1">
        <f t="shared" ref="J34:J65" si="8">($R$5^A34)*B34</f>
        <v>205443.51268886556</v>
      </c>
      <c r="K34" s="1">
        <f>SUM(J34:$J$102)</f>
        <v>3809620.9003258757</v>
      </c>
      <c r="L34" s="1">
        <f>SUM(K34:$K$102)</f>
        <v>60492845.214955851</v>
      </c>
      <c r="M34" s="1">
        <f t="shared" ref="M34:M65" si="9">(($R$5^(1+A34))*C34)</f>
        <v>146.15838474151784</v>
      </c>
      <c r="N34" s="1">
        <f>SUM(M34:$M$102)</f>
        <v>24032.993625728508</v>
      </c>
      <c r="O34" s="1">
        <f>SUM(N34:$N$102)</f>
        <v>929009.2234232137</v>
      </c>
    </row>
    <row r="35" spans="1:15" x14ac:dyDescent="0.25">
      <c r="A35">
        <v>33</v>
      </c>
      <c r="B35" s="1">
        <f t="shared" si="7"/>
        <v>978195.05511090672</v>
      </c>
      <c r="C35" s="1">
        <f t="shared" si="4"/>
        <v>777.66506881313398</v>
      </c>
      <c r="D35" s="4" t="s">
        <v>50</v>
      </c>
      <c r="E35">
        <f t="shared" si="5"/>
        <v>0.99920500000000001</v>
      </c>
      <c r="F35" s="1">
        <f t="shared" si="6"/>
        <v>977806.22257650015</v>
      </c>
      <c r="G35" s="1">
        <f>SUM(F35:$F$102)</f>
        <v>45922431.799752876</v>
      </c>
      <c r="H35">
        <f t="shared" si="0"/>
        <v>7.9531613816488287E-4</v>
      </c>
      <c r="I35" s="1">
        <f t="shared" si="1"/>
        <v>46.946088676093581</v>
      </c>
      <c r="J35" s="1">
        <f t="shared" si="8"/>
        <v>195514.32989036854</v>
      </c>
      <c r="K35" s="1">
        <f>SUM(J35:$J$102)</f>
        <v>3604177.3876370098</v>
      </c>
      <c r="L35" s="1">
        <f>SUM(K35:$K$102)</f>
        <v>56683224.314629972</v>
      </c>
      <c r="M35" s="1">
        <f t="shared" si="9"/>
        <v>148.03227834555773</v>
      </c>
      <c r="N35" s="1">
        <f>SUM(M35:$M$102)</f>
        <v>23886.835240986984</v>
      </c>
      <c r="O35" s="1">
        <f>SUM(N35:$N$102)</f>
        <v>904976.22979748528</v>
      </c>
    </row>
    <row r="36" spans="1:15" x14ac:dyDescent="0.25">
      <c r="A36">
        <v>34</v>
      </c>
      <c r="B36" s="1">
        <f t="shared" si="7"/>
        <v>977417.39004209358</v>
      </c>
      <c r="C36" s="1">
        <f t="shared" si="4"/>
        <v>830.80478153575677</v>
      </c>
      <c r="D36" s="4" t="s">
        <v>51</v>
      </c>
      <c r="E36">
        <f t="shared" si="5"/>
        <v>0.99914999999999998</v>
      </c>
      <c r="F36" s="1">
        <f t="shared" si="6"/>
        <v>977001.98765132576</v>
      </c>
      <c r="G36" s="1">
        <f>SUM(F36:$F$102)</f>
        <v>44944625.577176377</v>
      </c>
      <c r="H36">
        <f t="shared" si="0"/>
        <v>8.5036140359650517E-4</v>
      </c>
      <c r="I36" s="1">
        <f t="shared" si="1"/>
        <v>45.983042695036133</v>
      </c>
      <c r="J36" s="1">
        <f t="shared" si="8"/>
        <v>186056.09142676732</v>
      </c>
      <c r="K36" s="1">
        <f>SUM(J36:$J$102)</f>
        <v>3408663.0577466418</v>
      </c>
      <c r="L36" s="1">
        <f>SUM(K36:$K$102)</f>
        <v>53079046.926992968</v>
      </c>
      <c r="M36" s="1">
        <f t="shared" si="9"/>
        <v>150.61683591690274</v>
      </c>
      <c r="N36" s="1">
        <f>SUM(M36:$M$102)</f>
        <v>23738.802962641428</v>
      </c>
      <c r="O36" s="1">
        <f>SUM(N36:$N$102)</f>
        <v>881089.39455649839</v>
      </c>
    </row>
    <row r="37" spans="1:15" x14ac:dyDescent="0.25">
      <c r="A37">
        <v>35</v>
      </c>
      <c r="B37" s="1">
        <f t="shared" si="7"/>
        <v>976586.58526055783</v>
      </c>
      <c r="C37" s="1">
        <f t="shared" si="4"/>
        <v>888.69379258702975</v>
      </c>
      <c r="D37" s="4" t="s">
        <v>52</v>
      </c>
      <c r="E37">
        <f t="shared" si="5"/>
        <v>0.99909000000000003</v>
      </c>
      <c r="F37" s="1">
        <f t="shared" si="6"/>
        <v>976142.23836426437</v>
      </c>
      <c r="G37" s="1">
        <f>SUM(F37:$F$102)</f>
        <v>43967623.589525051</v>
      </c>
      <c r="H37">
        <f t="shared" si="0"/>
        <v>9.1041423847842788E-4</v>
      </c>
      <c r="I37" s="1">
        <f t="shared" si="1"/>
        <v>45.021736170781303</v>
      </c>
      <c r="J37" s="1">
        <f t="shared" si="8"/>
        <v>177045.66071338532</v>
      </c>
      <c r="K37" s="1">
        <f>SUM(J37:$J$102)</f>
        <v>3222606.9663198744</v>
      </c>
      <c r="L37" s="1">
        <f>SUM(K37:$K$102)</f>
        <v>49670383.869246319</v>
      </c>
      <c r="M37" s="1">
        <f t="shared" si="9"/>
        <v>153.43957261825381</v>
      </c>
      <c r="N37" s="1">
        <f>SUM(M37:$M$102)</f>
        <v>23588.186126724526</v>
      </c>
      <c r="O37" s="1">
        <f>SUM(N37:$N$102)</f>
        <v>857350.59159385692</v>
      </c>
    </row>
    <row r="38" spans="1:15" x14ac:dyDescent="0.25">
      <c r="A38">
        <v>36</v>
      </c>
      <c r="B38" s="1">
        <f t="shared" si="7"/>
        <v>975697.8914679708</v>
      </c>
      <c r="C38" s="1">
        <f t="shared" si="4"/>
        <v>953.25683996418957</v>
      </c>
      <c r="D38" s="4" t="s">
        <v>53</v>
      </c>
      <c r="E38">
        <f t="shared" si="5"/>
        <v>0.99902299999999999</v>
      </c>
      <c r="F38" s="1">
        <f t="shared" si="6"/>
        <v>975221.26304798876</v>
      </c>
      <c r="G38" s="1">
        <f>SUM(F38:$F$102)</f>
        <v>42991481.35116078</v>
      </c>
      <c r="H38">
        <f t="shared" si="0"/>
        <v>9.7747749775763614E-4</v>
      </c>
      <c r="I38" s="1">
        <f t="shared" si="1"/>
        <v>44.062287852727273</v>
      </c>
      <c r="J38" s="1">
        <f t="shared" si="8"/>
        <v>168461.47539251062</v>
      </c>
      <c r="K38" s="1">
        <f>SUM(J38:$J$102)</f>
        <v>3045561.3056064891</v>
      </c>
      <c r="L38" s="1">
        <f>SUM(K38:$K$102)</f>
        <v>46447776.902926445</v>
      </c>
      <c r="M38" s="1">
        <f t="shared" si="9"/>
        <v>156.74939186521883</v>
      </c>
      <c r="N38" s="1">
        <f>SUM(M38:$M$102)</f>
        <v>23434.74655410627</v>
      </c>
      <c r="O38" s="1">
        <f>SUM(N38:$N$102)</f>
        <v>833762.40546713234</v>
      </c>
    </row>
    <row r="39" spans="1:15" x14ac:dyDescent="0.25">
      <c r="A39">
        <v>37</v>
      </c>
      <c r="B39" s="1">
        <f t="shared" si="7"/>
        <v>974744.63462800661</v>
      </c>
      <c r="C39" s="1">
        <f t="shared" si="4"/>
        <v>1025.4313556287671</v>
      </c>
      <c r="D39" s="4" t="s">
        <v>54</v>
      </c>
      <c r="E39">
        <f t="shared" si="5"/>
        <v>0.99894799999999995</v>
      </c>
      <c r="F39" s="1">
        <f t="shared" si="6"/>
        <v>974231.91895019216</v>
      </c>
      <c r="G39" s="1">
        <f>SUM(F39:$F$102)</f>
        <v>42016260.088112794</v>
      </c>
      <c r="H39">
        <f t="shared" si="0"/>
        <v>1.0525536432164388E-3</v>
      </c>
      <c r="I39" s="1">
        <f t="shared" si="1"/>
        <v>43.104889830091274</v>
      </c>
      <c r="J39" s="1">
        <f t="shared" si="8"/>
        <v>160282.75098195439</v>
      </c>
      <c r="K39" s="1">
        <f>SUM(J39:$J$102)</f>
        <v>2877099.8302139784</v>
      </c>
      <c r="L39" s="1">
        <f>SUM(K39:$K$102)</f>
        <v>43402215.597319946</v>
      </c>
      <c r="M39" s="1">
        <f t="shared" si="9"/>
        <v>160.58805146003158</v>
      </c>
      <c r="N39" s="1">
        <f>SUM(M39:$M$102)</f>
        <v>23277.997162241052</v>
      </c>
      <c r="O39" s="1">
        <f>SUM(N39:$N$102)</f>
        <v>810327.65891302598</v>
      </c>
    </row>
    <row r="40" spans="1:15" x14ac:dyDescent="0.25">
      <c r="A40">
        <v>38</v>
      </c>
      <c r="B40" s="1">
        <f t="shared" si="7"/>
        <v>973719.20327237784</v>
      </c>
      <c r="C40" s="1">
        <f t="shared" si="4"/>
        <v>1106.145014917478</v>
      </c>
      <c r="D40" s="4" t="s">
        <v>55</v>
      </c>
      <c r="E40">
        <f t="shared" si="5"/>
        <v>0.99886399999999997</v>
      </c>
      <c r="F40" s="1">
        <f t="shared" si="6"/>
        <v>973166.1307649191</v>
      </c>
      <c r="G40" s="1">
        <f>SUM(F40:$F$102)</f>
        <v>41042028.169162601</v>
      </c>
      <c r="H40">
        <f t="shared" si="0"/>
        <v>1.1366456147092131E-3</v>
      </c>
      <c r="I40" s="1">
        <f t="shared" si="1"/>
        <v>42.149757374849614</v>
      </c>
      <c r="J40" s="1">
        <f t="shared" si="8"/>
        <v>152489.65097897273</v>
      </c>
      <c r="K40" s="1">
        <f>SUM(J40:$J$102)</f>
        <v>2716817.0792320245</v>
      </c>
      <c r="L40" s="1">
        <f>SUM(K40:$K$102)</f>
        <v>40525115.767105982</v>
      </c>
      <c r="M40" s="1">
        <f t="shared" si="9"/>
        <v>164.97927953535418</v>
      </c>
      <c r="N40" s="1">
        <f>SUM(M40:$M$102)</f>
        <v>23117.409110781024</v>
      </c>
      <c r="O40" s="1">
        <f>SUM(N40:$N$102)</f>
        <v>787049.66175078496</v>
      </c>
    </row>
    <row r="41" spans="1:15" x14ac:dyDescent="0.25">
      <c r="A41">
        <v>39</v>
      </c>
      <c r="B41" s="1">
        <f t="shared" si="7"/>
        <v>972613.05825746036</v>
      </c>
      <c r="C41" s="1">
        <f t="shared" si="4"/>
        <v>1194.3688355401391</v>
      </c>
      <c r="D41" s="4" t="s">
        <v>56</v>
      </c>
      <c r="E41">
        <f t="shared" si="5"/>
        <v>0.99877199999999999</v>
      </c>
      <c r="F41" s="1">
        <f t="shared" si="6"/>
        <v>972015.87383969035</v>
      </c>
      <c r="G41" s="1">
        <f>SUM(F41:$F$102)</f>
        <v>40068862.038397685</v>
      </c>
      <c r="H41">
        <f t="shared" si="0"/>
        <v>1.2287544552354918E-3</v>
      </c>
      <c r="I41" s="1">
        <f t="shared" si="1"/>
        <v>41.197125309200871</v>
      </c>
      <c r="J41" s="1">
        <f t="shared" si="8"/>
        <v>145063.2597480577</v>
      </c>
      <c r="K41" s="1">
        <f>SUM(J41:$J$102)</f>
        <v>2564327.4282530518</v>
      </c>
      <c r="L41" s="1">
        <f>SUM(K41:$K$102)</f>
        <v>37808298.687873945</v>
      </c>
      <c r="M41" s="1">
        <f t="shared" si="9"/>
        <v>169.65493616248719</v>
      </c>
      <c r="N41" s="1">
        <f>SUM(M41:$M$102)</f>
        <v>22952.429831245667</v>
      </c>
      <c r="O41" s="1">
        <f>SUM(N41:$N$102)</f>
        <v>763932.25264000415</v>
      </c>
    </row>
    <row r="42" spans="1:15" x14ac:dyDescent="0.25">
      <c r="A42">
        <v>40</v>
      </c>
      <c r="B42" s="1">
        <f t="shared" si="7"/>
        <v>971418.68942192022</v>
      </c>
      <c r="C42" s="1">
        <f t="shared" si="4"/>
        <v>1292.9582756205928</v>
      </c>
      <c r="D42" s="4" t="s">
        <v>57</v>
      </c>
      <c r="E42">
        <f t="shared" si="5"/>
        <v>0.99866900000000003</v>
      </c>
      <c r="F42" s="1">
        <f t="shared" si="6"/>
        <v>970772.21028410993</v>
      </c>
      <c r="G42" s="1">
        <f>SUM(F42:$F$102)</f>
        <v>39096846.164557993</v>
      </c>
      <c r="H42">
        <f t="shared" si="0"/>
        <v>1.3318863703795051E-3</v>
      </c>
      <c r="I42" s="1">
        <f t="shared" si="1"/>
        <v>40.247162825150156</v>
      </c>
      <c r="J42" s="1">
        <f t="shared" si="8"/>
        <v>137985.83053817818</v>
      </c>
      <c r="K42" s="1">
        <f>SUM(J42:$J$102)</f>
        <v>2419264.1685049939</v>
      </c>
      <c r="L42" s="1">
        <f>SUM(K42:$K$102)</f>
        <v>35243971.25962089</v>
      </c>
      <c r="M42" s="1">
        <f t="shared" si="9"/>
        <v>174.91346709173104</v>
      </c>
      <c r="N42" s="1">
        <f>SUM(M42:$M$102)</f>
        <v>22782.774895083188</v>
      </c>
      <c r="O42" s="1">
        <f>SUM(N42:$N$102)</f>
        <v>740979.82280875847</v>
      </c>
    </row>
    <row r="43" spans="1:15" x14ac:dyDescent="0.25">
      <c r="A43">
        <v>41</v>
      </c>
      <c r="B43" s="1">
        <f t="shared" si="7"/>
        <v>970125.73114629963</v>
      </c>
      <c r="C43" s="1">
        <f t="shared" si="4"/>
        <v>1402.8018072375562</v>
      </c>
      <c r="D43" s="4" t="s">
        <v>58</v>
      </c>
      <c r="E43">
        <f t="shared" si="5"/>
        <v>0.99855400000000005</v>
      </c>
      <c r="F43" s="1">
        <f t="shared" si="6"/>
        <v>969424.33024268085</v>
      </c>
      <c r="G43" s="1">
        <f>SUM(F43:$F$102)</f>
        <v>38126073.954273887</v>
      </c>
      <c r="H43">
        <f t="shared" si="0"/>
        <v>1.4470462144130277E-3</v>
      </c>
      <c r="I43" s="1">
        <f t="shared" si="1"/>
        <v>39.300136807240598</v>
      </c>
      <c r="J43" s="1">
        <f t="shared" si="8"/>
        <v>131240.16323593512</v>
      </c>
      <c r="K43" s="1">
        <f>SUM(J43:$J$102)</f>
        <v>2281278.3379668151</v>
      </c>
      <c r="L43" s="1">
        <f>SUM(K43:$K$102)</f>
        <v>32824707.091115918</v>
      </c>
      <c r="M43" s="1">
        <f t="shared" si="9"/>
        <v>180.73645337063149</v>
      </c>
      <c r="N43" s="1">
        <f>SUM(M43:$M$102)</f>
        <v>22607.861427991455</v>
      </c>
      <c r="O43" s="1">
        <f>SUM(N43:$N$102)</f>
        <v>718197.04791367531</v>
      </c>
    </row>
    <row r="44" spans="1:15" x14ac:dyDescent="0.25">
      <c r="A44">
        <v>42</v>
      </c>
      <c r="B44" s="1">
        <f t="shared" si="7"/>
        <v>968722.92933906207</v>
      </c>
      <c r="C44" s="1">
        <f t="shared" si="4"/>
        <v>1524.7698907796293</v>
      </c>
      <c r="D44" s="4" t="s">
        <v>59</v>
      </c>
      <c r="E44">
        <f t="shared" si="5"/>
        <v>0.99842600000000004</v>
      </c>
      <c r="F44" s="1">
        <f t="shared" si="6"/>
        <v>967960.54439367226</v>
      </c>
      <c r="G44" s="1">
        <f>SUM(F44:$F$102)</f>
        <v>37156649.624031208</v>
      </c>
      <c r="H44">
        <f t="shared" si="0"/>
        <v>1.57523971365459E-3</v>
      </c>
      <c r="I44" s="1">
        <f t="shared" si="1"/>
        <v>38.356323050371437</v>
      </c>
      <c r="J44" s="1">
        <f t="shared" si="8"/>
        <v>124809.89519990089</v>
      </c>
      <c r="K44" s="1">
        <f>SUM(J44:$J$102)</f>
        <v>2150038.1747308807</v>
      </c>
      <c r="L44" s="1">
        <f>SUM(K44:$K$102)</f>
        <v>30543428.753149103</v>
      </c>
      <c r="M44" s="1">
        <f t="shared" si="9"/>
        <v>187.09597623298762</v>
      </c>
      <c r="N44" s="1">
        <f>SUM(M44:$M$102)</f>
        <v>22427.12497462082</v>
      </c>
      <c r="O44" s="1">
        <f>SUM(N44:$N$102)</f>
        <v>695589.18648568389</v>
      </c>
    </row>
    <row r="45" spans="1:15" x14ac:dyDescent="0.25">
      <c r="A45">
        <v>43</v>
      </c>
      <c r="B45" s="1">
        <f t="shared" si="7"/>
        <v>967198.15944828244</v>
      </c>
      <c r="C45" s="1">
        <f t="shared" si="4"/>
        <v>1659.7120416132966</v>
      </c>
      <c r="D45" s="4" t="s">
        <v>60</v>
      </c>
      <c r="E45">
        <f t="shared" si="5"/>
        <v>0.99828399999999995</v>
      </c>
      <c r="F45" s="1">
        <f t="shared" si="6"/>
        <v>966368.30342747574</v>
      </c>
      <c r="G45" s="1">
        <f>SUM(F45:$F$102)</f>
        <v>36188689.079637535</v>
      </c>
      <c r="H45">
        <f t="shared" si="0"/>
        <v>1.7174735923422752E-3</v>
      </c>
      <c r="I45" s="1">
        <f t="shared" si="1"/>
        <v>37.416002838839766</v>
      </c>
      <c r="J45" s="1">
        <f t="shared" si="8"/>
        <v>118679.47088081548</v>
      </c>
      <c r="K45" s="1">
        <f>SUM(J45:$J$102)</f>
        <v>2025228.279530979</v>
      </c>
      <c r="L45" s="1">
        <f>SUM(K45:$K$102)</f>
        <v>28393390.578418221</v>
      </c>
      <c r="M45" s="1">
        <f t="shared" si="9"/>
        <v>193.95616383950929</v>
      </c>
      <c r="N45" s="1">
        <f>SUM(M45:$M$102)</f>
        <v>22240.028998387839</v>
      </c>
      <c r="O45" s="1">
        <f>SUM(N45:$N$102)</f>
        <v>673162.06151106302</v>
      </c>
    </row>
    <row r="46" spans="1:15" x14ac:dyDescent="0.25">
      <c r="A46">
        <v>44</v>
      </c>
      <c r="B46" s="1">
        <f t="shared" si="7"/>
        <v>965538.44740666915</v>
      </c>
      <c r="C46" s="1">
        <f t="shared" si="4"/>
        <v>1809.4190504401922</v>
      </c>
      <c r="D46" s="4" t="s">
        <v>61</v>
      </c>
      <c r="E46">
        <f t="shared" si="5"/>
        <v>0.99812599999999996</v>
      </c>
      <c r="F46" s="1">
        <f t="shared" si="6"/>
        <v>964633.73788144905</v>
      </c>
      <c r="G46" s="1">
        <f>SUM(F46:$F$102)</f>
        <v>35222320.77621007</v>
      </c>
      <c r="H46">
        <f t="shared" si="0"/>
        <v>1.8757575848571087E-3</v>
      </c>
      <c r="I46" s="1">
        <f t="shared" si="1"/>
        <v>36.479459591498795</v>
      </c>
      <c r="J46" s="1">
        <f t="shared" si="8"/>
        <v>112834.11134169904</v>
      </c>
      <c r="K46" s="1">
        <f>SUM(J46:$J$102)</f>
        <v>1906548.8086501632</v>
      </c>
      <c r="L46" s="1">
        <f>SUM(K46:$K$102)</f>
        <v>26368162.298887242</v>
      </c>
      <c r="M46" s="1">
        <f t="shared" si="9"/>
        <v>201.38202348033809</v>
      </c>
      <c r="N46" s="1">
        <f>SUM(M46:$M$102)</f>
        <v>22046.072834548329</v>
      </c>
      <c r="O46" s="1">
        <f>SUM(N46:$N$102)</f>
        <v>650922.03251267516</v>
      </c>
    </row>
    <row r="47" spans="1:15" x14ac:dyDescent="0.25">
      <c r="A47">
        <v>45</v>
      </c>
      <c r="B47" s="1">
        <f t="shared" si="7"/>
        <v>963729.02835622896</v>
      </c>
      <c r="C47" s="1">
        <f t="shared" si="4"/>
        <v>1975.6445081302663</v>
      </c>
      <c r="D47" s="4" t="s">
        <v>62</v>
      </c>
      <c r="E47">
        <f t="shared" si="5"/>
        <v>0.99795</v>
      </c>
      <c r="F47" s="1">
        <f t="shared" si="6"/>
        <v>962741.20610216376</v>
      </c>
      <c r="G47" s="1">
        <f>SUM(F47:$F$102)</f>
        <v>34257687.03832861</v>
      </c>
      <c r="H47">
        <f t="shared" si="0"/>
        <v>2.0521034059911378E-3</v>
      </c>
      <c r="I47" s="1">
        <f t="shared" si="1"/>
        <v>35.547011691408485</v>
      </c>
      <c r="J47" s="1">
        <f t="shared" si="8"/>
        <v>107259.67639718541</v>
      </c>
      <c r="K47" s="1">
        <f>SUM(J47:$J$102)</f>
        <v>1793714.6973084642</v>
      </c>
      <c r="L47" s="1">
        <f>SUM(K47:$K$102)</f>
        <v>24461613.490237076</v>
      </c>
      <c r="M47" s="1">
        <f t="shared" si="9"/>
        <v>209.41174915640926</v>
      </c>
      <c r="N47" s="1">
        <f>SUM(M47:$M$102)</f>
        <v>21844.690811067987</v>
      </c>
      <c r="O47" s="1">
        <f>SUM(N47:$N$102)</f>
        <v>628875.95967812685</v>
      </c>
    </row>
    <row r="48" spans="1:15" x14ac:dyDescent="0.25">
      <c r="A48">
        <v>46</v>
      </c>
      <c r="B48" s="1">
        <f t="shared" si="7"/>
        <v>961753.38384809869</v>
      </c>
      <c r="C48" s="1">
        <f t="shared" si="4"/>
        <v>2160.0981001227628</v>
      </c>
      <c r="D48" s="4" t="s">
        <v>63</v>
      </c>
      <c r="E48">
        <f t="shared" si="5"/>
        <v>0.99775400000000003</v>
      </c>
      <c r="F48" s="1">
        <f t="shared" si="6"/>
        <v>960673.33479803731</v>
      </c>
      <c r="G48" s="1">
        <f>SUM(F48:$F$102)</f>
        <v>33294945.832226448</v>
      </c>
      <c r="H48">
        <f t="shared" si="0"/>
        <v>2.2485250936801334E-3</v>
      </c>
      <c r="I48" s="1">
        <f t="shared" si="1"/>
        <v>34.619005652997132</v>
      </c>
      <c r="J48" s="1">
        <f t="shared" si="8"/>
        <v>101942.66101006778</v>
      </c>
      <c r="K48" s="1">
        <f>SUM(J48:$J$102)</f>
        <v>1686455.0209112787</v>
      </c>
      <c r="L48" s="1">
        <f>SUM(K48:$K$102)</f>
        <v>22667898.792928617</v>
      </c>
      <c r="M48" s="1">
        <f t="shared" si="9"/>
        <v>218.06020631295729</v>
      </c>
      <c r="N48" s="1">
        <f>SUM(M48:$M$102)</f>
        <v>21635.279061911584</v>
      </c>
      <c r="O48" s="1">
        <f>SUM(N48:$N$102)</f>
        <v>607031.26886705903</v>
      </c>
    </row>
    <row r="49" spans="1:15" x14ac:dyDescent="0.25">
      <c r="A49">
        <v>47</v>
      </c>
      <c r="B49" s="1">
        <f t="shared" si="7"/>
        <v>959593.28574797593</v>
      </c>
      <c r="C49" s="1">
        <f t="shared" si="4"/>
        <v>2363.4782627972309</v>
      </c>
      <c r="D49" s="4" t="s">
        <v>64</v>
      </c>
      <c r="E49">
        <f t="shared" si="5"/>
        <v>0.99753700000000001</v>
      </c>
      <c r="F49" s="1">
        <f t="shared" si="6"/>
        <v>958411.54661657731</v>
      </c>
      <c r="G49" s="1">
        <f>SUM(F49:$F$102)</f>
        <v>32334272.49742841</v>
      </c>
      <c r="H49">
        <f t="shared" si="0"/>
        <v>2.4660369244724526E-3</v>
      </c>
      <c r="I49" s="1">
        <f t="shared" si="1"/>
        <v>33.695809441001614</v>
      </c>
      <c r="J49" s="1">
        <f t="shared" si="8"/>
        <v>96870.188374703983</v>
      </c>
      <c r="K49" s="1">
        <f>SUM(J49:$J$102)</f>
        <v>1584512.359901211</v>
      </c>
      <c r="L49" s="1">
        <f>SUM(K49:$K$102)</f>
        <v>20981443.772017334</v>
      </c>
      <c r="M49" s="1">
        <f t="shared" si="9"/>
        <v>227.22978473037378</v>
      </c>
      <c r="N49" s="1">
        <f>SUM(M49:$M$102)</f>
        <v>21417.218855598621</v>
      </c>
      <c r="O49" s="1">
        <f>SUM(N49:$N$102)</f>
        <v>585395.98980514728</v>
      </c>
    </row>
    <row r="50" spans="1:15" x14ac:dyDescent="0.25">
      <c r="A50">
        <v>48</v>
      </c>
      <c r="B50" s="1">
        <f t="shared" si="7"/>
        <v>957229.8074851787</v>
      </c>
      <c r="C50" s="1">
        <f t="shared" si="4"/>
        <v>2590.2638590548886</v>
      </c>
      <c r="D50" s="4" t="s">
        <v>65</v>
      </c>
      <c r="E50">
        <f t="shared" si="5"/>
        <v>0.99729400000000001</v>
      </c>
      <c r="F50" s="1">
        <f t="shared" si="6"/>
        <v>955934.67555565131</v>
      </c>
      <c r="G50" s="1">
        <f>SUM(F50:$F$102)</f>
        <v>31375860.950811833</v>
      </c>
      <c r="H50">
        <f t="shared" si="0"/>
        <v>2.7096661783392877E-3</v>
      </c>
      <c r="I50" s="1">
        <f t="shared" si="1"/>
        <v>32.777772594902864</v>
      </c>
      <c r="J50" s="1">
        <f t="shared" si="8"/>
        <v>92030.09247689246</v>
      </c>
      <c r="K50" s="1">
        <f>SUM(J50:$J$102)</f>
        <v>1487642.1715265072</v>
      </c>
      <c r="L50" s="1">
        <f>SUM(K50:$K$102)</f>
        <v>19396931.412116125</v>
      </c>
      <c r="M50" s="1">
        <f t="shared" si="9"/>
        <v>237.17469546901953</v>
      </c>
      <c r="N50" s="1">
        <f>SUM(M50:$M$102)</f>
        <v>21189.989070868251</v>
      </c>
      <c r="O50" s="1">
        <f>SUM(N50:$N$102)</f>
        <v>563978.77094954869</v>
      </c>
    </row>
    <row r="51" spans="1:15" x14ac:dyDescent="0.25">
      <c r="A51">
        <v>49</v>
      </c>
      <c r="B51" s="1">
        <f t="shared" si="7"/>
        <v>954639.54362612381</v>
      </c>
      <c r="C51" s="1">
        <f t="shared" si="4"/>
        <v>2840.0526422876865</v>
      </c>
      <c r="D51" s="4" t="s">
        <v>66</v>
      </c>
      <c r="E51">
        <f t="shared" si="5"/>
        <v>0.99702500000000005</v>
      </c>
      <c r="F51" s="1">
        <f t="shared" si="6"/>
        <v>953219.51730497996</v>
      </c>
      <c r="G51" s="1">
        <f>SUM(F51:$F$102)</f>
        <v>30419926.275256179</v>
      </c>
      <c r="H51">
        <f t="shared" si="0"/>
        <v>2.9794319049585923E-3</v>
      </c>
      <c r="I51" s="1">
        <f t="shared" si="1"/>
        <v>31.865353240772389</v>
      </c>
      <c r="J51" s="1">
        <f t="shared" si="8"/>
        <v>87410.532425380938</v>
      </c>
      <c r="K51" s="1">
        <f>SUM(J51:$J$102)</f>
        <v>1395612.0790496147</v>
      </c>
      <c r="L51" s="1">
        <f>SUM(K51:$K$102)</f>
        <v>17909289.240589615</v>
      </c>
      <c r="M51" s="1">
        <f t="shared" si="9"/>
        <v>247.66317520524319</v>
      </c>
      <c r="N51" s="1">
        <f>SUM(M51:$M$102)</f>
        <v>20952.814375399234</v>
      </c>
      <c r="O51" s="1">
        <f>SUM(N51:$N$102)</f>
        <v>542788.78187868057</v>
      </c>
    </row>
    <row r="52" spans="1:15" x14ac:dyDescent="0.25">
      <c r="A52">
        <v>50</v>
      </c>
      <c r="B52" s="1">
        <f t="shared" si="7"/>
        <v>951799.49098383612</v>
      </c>
      <c r="C52" s="1">
        <f t="shared" si="4"/>
        <v>3117.1433329720749</v>
      </c>
      <c r="D52" s="4" t="s">
        <v>67</v>
      </c>
      <c r="E52">
        <f t="shared" si="5"/>
        <v>0.99672499999999997</v>
      </c>
      <c r="F52" s="1">
        <f t="shared" si="6"/>
        <v>950240.91931735002</v>
      </c>
      <c r="G52" s="1">
        <f>SUM(F52:$F$102)</f>
        <v>29466706.7579512</v>
      </c>
      <c r="H52">
        <f t="shared" si="0"/>
        <v>3.2803716085089457E-3</v>
      </c>
      <c r="I52" s="1">
        <f t="shared" si="1"/>
        <v>30.958943597976369</v>
      </c>
      <c r="J52" s="1">
        <f t="shared" si="8"/>
        <v>83000.462944205166</v>
      </c>
      <c r="K52" s="1">
        <f>SUM(J52:$J$102)</f>
        <v>1308201.5466242335</v>
      </c>
      <c r="L52" s="1">
        <f>SUM(K52:$K$102)</f>
        <v>16513677.161539998</v>
      </c>
      <c r="M52" s="1">
        <f t="shared" si="9"/>
        <v>258.88239632597424</v>
      </c>
      <c r="N52" s="1">
        <f>SUM(M52:$M$102)</f>
        <v>20705.151200193985</v>
      </c>
      <c r="O52" s="1">
        <f>SUM(N52:$N$102)</f>
        <v>521835.96750328143</v>
      </c>
    </row>
    <row r="53" spans="1:15" x14ac:dyDescent="0.25">
      <c r="A53">
        <v>51</v>
      </c>
      <c r="B53" s="1">
        <f t="shared" si="7"/>
        <v>948682.34765086405</v>
      </c>
      <c r="C53" s="1">
        <f t="shared" si="4"/>
        <v>3423.7945926719112</v>
      </c>
      <c r="D53" s="4" t="s">
        <v>68</v>
      </c>
      <c r="E53">
        <f t="shared" si="5"/>
        <v>0.99639100000000003</v>
      </c>
      <c r="F53" s="1">
        <f t="shared" si="6"/>
        <v>946970.45035452815</v>
      </c>
      <c r="G53" s="1">
        <f>SUM(F53:$F$102)</f>
        <v>28516465.83863385</v>
      </c>
      <c r="H53">
        <f t="shared" si="0"/>
        <v>3.6155242134430976E-3</v>
      </c>
      <c r="I53" s="1">
        <f t="shared" si="1"/>
        <v>30.059024402895854</v>
      </c>
      <c r="J53" s="1">
        <f t="shared" si="8"/>
        <v>78789.177550536086</v>
      </c>
      <c r="K53" s="1">
        <f>SUM(J53:$J$102)</f>
        <v>1225201.0836800286</v>
      </c>
      <c r="L53" s="1">
        <f>SUM(K53:$K$102)</f>
        <v>15205475.614915762</v>
      </c>
      <c r="M53" s="1">
        <f t="shared" si="9"/>
        <v>270.80965883798098</v>
      </c>
      <c r="N53" s="1">
        <f>SUM(M53:$M$102)</f>
        <v>20446.268803868013</v>
      </c>
      <c r="O53" s="1">
        <f>SUM(N53:$N$102)</f>
        <v>501130.8163030874</v>
      </c>
    </row>
    <row r="54" spans="1:15" x14ac:dyDescent="0.25">
      <c r="A54">
        <v>52</v>
      </c>
      <c r="B54" s="1">
        <f t="shared" si="7"/>
        <v>945258.55305819213</v>
      </c>
      <c r="C54" s="1">
        <f t="shared" si="4"/>
        <v>3789.5415392103605</v>
      </c>
      <c r="D54" s="4" t="s">
        <v>69</v>
      </c>
      <c r="E54">
        <f t="shared" si="5"/>
        <v>0.99599099999999996</v>
      </c>
      <c r="F54" s="1">
        <f t="shared" si="6"/>
        <v>943363.78228858695</v>
      </c>
      <c r="G54" s="1">
        <f>SUM(F54:$F$102)</f>
        <v>27569495.388279326</v>
      </c>
      <c r="H54">
        <f t="shared" si="0"/>
        <v>4.017052181097081E-3</v>
      </c>
      <c r="I54" s="1">
        <f t="shared" si="1"/>
        <v>29.166089319249025</v>
      </c>
      <c r="J54" s="1">
        <f t="shared" si="8"/>
        <v>74766.502294053542</v>
      </c>
      <c r="K54" s="1">
        <f>SUM(J54:$J$102)</f>
        <v>1146411.9061294924</v>
      </c>
      <c r="L54" s="1">
        <f>SUM(K54:$K$102)</f>
        <v>13980274.531235736</v>
      </c>
      <c r="M54" s="1">
        <f t="shared" si="9"/>
        <v>285.46562637796762</v>
      </c>
      <c r="N54" s="1">
        <f>SUM(M54:$M$102)</f>
        <v>20175.459145030029</v>
      </c>
      <c r="O54" s="1">
        <f>SUM(N54:$N$102)</f>
        <v>480684.54749921936</v>
      </c>
    </row>
    <row r="55" spans="1:15" x14ac:dyDescent="0.25">
      <c r="A55">
        <v>53</v>
      </c>
      <c r="B55" s="1">
        <f t="shared" si="7"/>
        <v>941469.01151898177</v>
      </c>
      <c r="C55" s="1">
        <f t="shared" si="4"/>
        <v>4133.0489605683833</v>
      </c>
      <c r="D55" s="4" t="s">
        <v>70</v>
      </c>
      <c r="E55">
        <f t="shared" si="5"/>
        <v>0.99560999999999999</v>
      </c>
      <c r="F55" s="1">
        <f t="shared" si="6"/>
        <v>939402.48703869758</v>
      </c>
      <c r="G55" s="1">
        <f>SUM(F55:$F$102)</f>
        <v>26626131.605990738</v>
      </c>
      <c r="H55">
        <f t="shared" si="0"/>
        <v>4.3996572476586674E-3</v>
      </c>
      <c r="I55" s="1">
        <f t="shared" si="1"/>
        <v>28.281474249515334</v>
      </c>
      <c r="J55" s="1">
        <f t="shared" si="8"/>
        <v>70920.727034625394</v>
      </c>
      <c r="K55" s="1">
        <f>SUM(J55:$J$102)</f>
        <v>1071645.4038354394</v>
      </c>
      <c r="L55" s="1">
        <f>SUM(K55:$K$102)</f>
        <v>12833862.625106245</v>
      </c>
      <c r="M55" s="1">
        <f t="shared" si="9"/>
        <v>296.51618255429474</v>
      </c>
      <c r="N55" s="1">
        <f>SUM(M55:$M$102)</f>
        <v>19889.993518652067</v>
      </c>
      <c r="O55" s="1">
        <f>SUM(N55:$N$102)</f>
        <v>460509.08835418936</v>
      </c>
    </row>
    <row r="56" spans="1:15" x14ac:dyDescent="0.25">
      <c r="A56">
        <v>54</v>
      </c>
      <c r="B56" s="1">
        <f t="shared" si="7"/>
        <v>937335.96255841339</v>
      </c>
      <c r="C56" s="1">
        <f t="shared" si="4"/>
        <v>4502.0246281680884</v>
      </c>
      <c r="D56" s="4" t="s">
        <v>71</v>
      </c>
      <c r="E56">
        <f t="shared" si="5"/>
        <v>0.995197</v>
      </c>
      <c r="F56" s="1">
        <f t="shared" si="6"/>
        <v>935084.9502443294</v>
      </c>
      <c r="G56" s="1">
        <f>SUM(F56:$F$102)</f>
        <v>25686729.118952036</v>
      </c>
      <c r="H56">
        <f t="shared" si="0"/>
        <v>4.8145621710538166E-3</v>
      </c>
      <c r="I56" s="1">
        <f t="shared" si="1"/>
        <v>27.403972689622773</v>
      </c>
      <c r="J56" s="1">
        <f t="shared" si="8"/>
        <v>67247.033374231789</v>
      </c>
      <c r="K56" s="1">
        <f>SUM(J56:$J$102)</f>
        <v>1000724.6768008141</v>
      </c>
      <c r="L56" s="1">
        <f>SUM(K56:$K$102)</f>
        <v>11762217.221270803</v>
      </c>
      <c r="M56" s="1">
        <f t="shared" si="9"/>
        <v>307.60714409184504</v>
      </c>
      <c r="N56" s="1">
        <f>SUM(M56:$M$102)</f>
        <v>19593.477336097771</v>
      </c>
      <c r="O56" s="1">
        <f>SUM(N56:$N$102)</f>
        <v>440619.09483553725</v>
      </c>
    </row>
    <row r="57" spans="1:15" x14ac:dyDescent="0.25">
      <c r="A57">
        <v>55</v>
      </c>
      <c r="B57" s="1">
        <f t="shared" si="7"/>
        <v>932833.9379302453</v>
      </c>
      <c r="C57" s="1">
        <f t="shared" si="4"/>
        <v>4860.9976505545201</v>
      </c>
      <c r="D57" s="4" t="s">
        <v>72</v>
      </c>
      <c r="E57">
        <f t="shared" si="5"/>
        <v>0.99478900000000003</v>
      </c>
      <c r="F57" s="1">
        <f t="shared" si="6"/>
        <v>930403.43910496798</v>
      </c>
      <c r="G57" s="1">
        <f>SUM(F57:$F$102)</f>
        <v>24751644.168707706</v>
      </c>
      <c r="H57">
        <f t="shared" si="0"/>
        <v>5.2246127284640261E-3</v>
      </c>
      <c r="I57" s="1">
        <f t="shared" si="1"/>
        <v>26.533816108391377</v>
      </c>
      <c r="J57" s="1">
        <f t="shared" si="8"/>
        <v>63737.186545652708</v>
      </c>
      <c r="K57" s="1">
        <f>SUM(J57:$J$102)</f>
        <v>933477.64342658245</v>
      </c>
      <c r="L57" s="1">
        <f>SUM(K57:$K$102)</f>
        <v>10761492.54446999</v>
      </c>
      <c r="M57" s="1">
        <f t="shared" si="9"/>
        <v>316.3185515137115</v>
      </c>
      <c r="N57" s="1">
        <f>SUM(M57:$M$102)</f>
        <v>19285.870192005925</v>
      </c>
      <c r="O57" s="1">
        <f>SUM(N57:$N$102)</f>
        <v>421025.61749943945</v>
      </c>
    </row>
    <row r="58" spans="1:15" x14ac:dyDescent="0.25">
      <c r="A58">
        <v>56</v>
      </c>
      <c r="B58" s="1">
        <f t="shared" si="7"/>
        <v>927972.94027969078</v>
      </c>
      <c r="C58" s="1">
        <f t="shared" si="4"/>
        <v>5222.6317078940338</v>
      </c>
      <c r="D58" s="4" t="s">
        <v>73</v>
      </c>
      <c r="E58">
        <f t="shared" si="5"/>
        <v>0.99437200000000003</v>
      </c>
      <c r="F58" s="1">
        <f t="shared" si="6"/>
        <v>925361.62442574371</v>
      </c>
      <c r="G58" s="1">
        <f>SUM(F58:$F$102)</f>
        <v>23821240.729602739</v>
      </c>
      <c r="H58">
        <f t="shared" si="0"/>
        <v>5.6438818836204371E-3</v>
      </c>
      <c r="I58" s="1">
        <f t="shared" si="1"/>
        <v>25.67018896307798</v>
      </c>
      <c r="J58" s="1">
        <f t="shared" si="8"/>
        <v>60385.763872917443</v>
      </c>
      <c r="K58" s="1">
        <f>SUM(J58:$J$102)</f>
        <v>869740.45688092965</v>
      </c>
      <c r="L58" s="1">
        <f>SUM(K58:$K$102)</f>
        <v>9828014.9010434076</v>
      </c>
      <c r="M58" s="1">
        <f t="shared" si="9"/>
        <v>323.66769435883344</v>
      </c>
      <c r="N58" s="1">
        <f>SUM(M58:$M$102)</f>
        <v>18969.551640492209</v>
      </c>
      <c r="O58" s="1">
        <f>SUM(N58:$N$102)</f>
        <v>401739.74730743351</v>
      </c>
    </row>
    <row r="59" spans="1:15" x14ac:dyDescent="0.25">
      <c r="A59">
        <v>57</v>
      </c>
      <c r="B59" s="1">
        <f t="shared" si="7"/>
        <v>922750.30857179675</v>
      </c>
      <c r="C59" s="1">
        <f t="shared" si="4"/>
        <v>5540.1928526650881</v>
      </c>
      <c r="D59" s="4" t="s">
        <v>74</v>
      </c>
      <c r="E59">
        <f t="shared" si="5"/>
        <v>0.99399599999999999</v>
      </c>
      <c r="F59" s="1">
        <f t="shared" si="6"/>
        <v>919980.21214546426</v>
      </c>
      <c r="G59" s="1">
        <f>SUM(F59:$F$102)</f>
        <v>22895879.105176993</v>
      </c>
      <c r="H59">
        <f t="shared" si="0"/>
        <v>6.0220782789935602E-3</v>
      </c>
      <c r="I59" s="1">
        <f t="shared" si="1"/>
        <v>24.812648549112378</v>
      </c>
      <c r="J59" s="1">
        <f t="shared" si="8"/>
        <v>57186.583613181589</v>
      </c>
      <c r="K59" s="1">
        <f>SUM(J59:$J$102)</f>
        <v>809354.69300801225</v>
      </c>
      <c r="L59" s="1">
        <f>SUM(K59:$K$102)</f>
        <v>8958274.4441624768</v>
      </c>
      <c r="M59" s="1">
        <f t="shared" si="9"/>
        <v>326.99833144146999</v>
      </c>
      <c r="N59" s="1">
        <f>SUM(M59:$M$102)</f>
        <v>18645.883946133377</v>
      </c>
      <c r="O59" s="1">
        <f>SUM(N59:$N$102)</f>
        <v>382770.19566694129</v>
      </c>
    </row>
    <row r="60" spans="1:15" x14ac:dyDescent="0.25">
      <c r="A60">
        <v>58</v>
      </c>
      <c r="B60" s="1">
        <f t="shared" si="7"/>
        <v>917210.11571913166</v>
      </c>
      <c r="C60" s="1">
        <f t="shared" si="4"/>
        <v>5926.0945576613303</v>
      </c>
      <c r="D60" s="4" t="s">
        <v>75</v>
      </c>
      <c r="E60">
        <f t="shared" si="5"/>
        <v>0.99353899999999995</v>
      </c>
      <c r="F60" s="1">
        <f t="shared" si="6"/>
        <v>914247.06844030099</v>
      </c>
      <c r="G60" s="1">
        <f>SUM(F60:$F$102)</f>
        <v>21975898.89303153</v>
      </c>
      <c r="H60">
        <f t="shared" si="0"/>
        <v>6.481939906869163E-3</v>
      </c>
      <c r="I60" s="1">
        <f t="shared" si="1"/>
        <v>23.959503407571439</v>
      </c>
      <c r="J60" s="1">
        <f t="shared" si="8"/>
        <v>54136.414633493376</v>
      </c>
      <c r="K60" s="1">
        <f>SUM(J60:$J$102)</f>
        <v>752168.10939483077</v>
      </c>
      <c r="L60" s="1">
        <f>SUM(K60:$K$102)</f>
        <v>8148919.7511544628</v>
      </c>
      <c r="M60" s="1">
        <f t="shared" si="9"/>
        <v>333.11940471143038</v>
      </c>
      <c r="N60" s="1">
        <f>SUM(M60:$M$102)</f>
        <v>18318.885614691906</v>
      </c>
      <c r="O60" s="1">
        <f>SUM(N60:$N$102)</f>
        <v>364124.31172080798</v>
      </c>
    </row>
    <row r="61" spans="1:15" x14ac:dyDescent="0.25">
      <c r="A61">
        <v>59</v>
      </c>
      <c r="B61" s="1">
        <f t="shared" si="7"/>
        <v>911284.02116147033</v>
      </c>
      <c r="C61" s="1">
        <f t="shared" si="4"/>
        <v>6317.0208346913569</v>
      </c>
      <c r="D61" s="4" t="s">
        <v>76</v>
      </c>
      <c r="E61">
        <f t="shared" si="5"/>
        <v>0.99306799999999995</v>
      </c>
      <c r="F61" s="1">
        <f t="shared" si="6"/>
        <v>908125.51074412465</v>
      </c>
      <c r="G61" s="1">
        <f>SUM(F61:$F$102)</f>
        <v>21061651.824591234</v>
      </c>
      <c r="H61">
        <f t="shared" si="0"/>
        <v>6.9561098768331523E-3</v>
      </c>
      <c r="I61" s="1">
        <f t="shared" si="1"/>
        <v>23.112060933261247</v>
      </c>
      <c r="J61" s="1">
        <f t="shared" si="8"/>
        <v>51225.370722425112</v>
      </c>
      <c r="K61" s="1">
        <f>SUM(J61:$J$102)</f>
        <v>698031.69476133736</v>
      </c>
      <c r="L61" s="1">
        <f>SUM(K61:$K$102)</f>
        <v>7396751.6417596312</v>
      </c>
      <c r="M61" s="1">
        <f t="shared" si="9"/>
        <v>338.1850189027175</v>
      </c>
      <c r="N61" s="1">
        <f>SUM(M61:$M$102)</f>
        <v>17985.76620998048</v>
      </c>
      <c r="O61" s="1">
        <f>SUM(N61:$N$102)</f>
        <v>345805.42610611609</v>
      </c>
    </row>
    <row r="62" spans="1:15" x14ac:dyDescent="0.25">
      <c r="A62">
        <v>60</v>
      </c>
      <c r="B62" s="1">
        <f t="shared" si="7"/>
        <v>904967.00032677897</v>
      </c>
      <c r="C62" s="1">
        <f t="shared" si="4"/>
        <v>6694.9458684175042</v>
      </c>
      <c r="D62" s="4" t="s">
        <v>77</v>
      </c>
      <c r="E62">
        <f t="shared" si="5"/>
        <v>0.99260199999999998</v>
      </c>
      <c r="F62" s="1">
        <f t="shared" si="6"/>
        <v>901619.52739257016</v>
      </c>
      <c r="G62" s="1">
        <f>SUM(F62:$F$102)</f>
        <v>20153526.31384711</v>
      </c>
      <c r="H62">
        <f t="shared" si="0"/>
        <v>7.4254668016994797E-3</v>
      </c>
      <c r="I62" s="1">
        <f t="shared" si="1"/>
        <v>22.269901893184805</v>
      </c>
      <c r="J62" s="1">
        <f t="shared" si="8"/>
        <v>48447.882335787865</v>
      </c>
      <c r="K62" s="1">
        <f>SUM(J62:$J$102)</f>
        <v>646806.32403891219</v>
      </c>
      <c r="L62" s="1">
        <f>SUM(K62:$K$102)</f>
        <v>6698719.9469982935</v>
      </c>
      <c r="M62" s="1">
        <f t="shared" si="9"/>
        <v>341.34993668586503</v>
      </c>
      <c r="N62" s="1">
        <f>SUM(M62:$M$102)</f>
        <v>17647.581191077756</v>
      </c>
      <c r="O62" s="1">
        <f>SUM(N62:$N$102)</f>
        <v>327819.65989613556</v>
      </c>
    </row>
    <row r="63" spans="1:15" x14ac:dyDescent="0.25">
      <c r="A63">
        <v>61</v>
      </c>
      <c r="B63" s="1">
        <f t="shared" si="7"/>
        <v>898272.05445836147</v>
      </c>
      <c r="C63" s="1">
        <f t="shared" si="4"/>
        <v>7085.5699655675562</v>
      </c>
      <c r="D63" s="4" t="s">
        <v>78</v>
      </c>
      <c r="E63">
        <f t="shared" si="5"/>
        <v>0.99211199999999999</v>
      </c>
      <c r="F63" s="1">
        <f t="shared" si="6"/>
        <v>894729.26947557763</v>
      </c>
      <c r="G63" s="1">
        <f>SUM(F63:$F$102)</f>
        <v>19251906.786454536</v>
      </c>
      <c r="H63">
        <f t="shared" si="0"/>
        <v>7.9192334567534366E-3</v>
      </c>
      <c r="I63" s="1">
        <f t="shared" si="1"/>
        <v>21.432155983148132</v>
      </c>
      <c r="J63" s="1">
        <f t="shared" si="8"/>
        <v>45799.490383112097</v>
      </c>
      <c r="K63" s="1">
        <f>SUM(J63:$J$102)</f>
        <v>598358.4417031242</v>
      </c>
      <c r="L63" s="1">
        <f>SUM(K63:$K$102)</f>
        <v>6051913.6229593819</v>
      </c>
      <c r="M63" s="1">
        <f t="shared" si="9"/>
        <v>344.0632191828459</v>
      </c>
      <c r="N63" s="1">
        <f>SUM(M63:$M$102)</f>
        <v>17306.231254391896</v>
      </c>
      <c r="O63" s="1">
        <f>SUM(N63:$N$102)</f>
        <v>310172.07870505785</v>
      </c>
    </row>
    <row r="64" spans="1:15" x14ac:dyDescent="0.25">
      <c r="A64">
        <v>62</v>
      </c>
      <c r="B64" s="1">
        <f t="shared" si="7"/>
        <v>891186.48449279391</v>
      </c>
      <c r="C64" s="1">
        <f t="shared" si="4"/>
        <v>7458.3396887201816</v>
      </c>
      <c r="D64" s="4" t="s">
        <v>79</v>
      </c>
      <c r="E64">
        <f t="shared" si="5"/>
        <v>0.99163100000000004</v>
      </c>
      <c r="F64" s="1">
        <f t="shared" si="6"/>
        <v>887457.31464843382</v>
      </c>
      <c r="G64" s="1">
        <f>SUM(F64:$F$102)</f>
        <v>18357177.516978957</v>
      </c>
      <c r="H64">
        <f t="shared" si="0"/>
        <v>8.4041672378065892E-3</v>
      </c>
      <c r="I64" s="1">
        <f t="shared" si="1"/>
        <v>20.598581594767658</v>
      </c>
      <c r="J64" s="1">
        <f t="shared" si="8"/>
        <v>43274.499050447717</v>
      </c>
      <c r="K64" s="1">
        <f>SUM(J64:$J$102)</f>
        <v>552558.95132001187</v>
      </c>
      <c r="L64" s="1">
        <f>SUM(K64:$K$102)</f>
        <v>5453555.1812562579</v>
      </c>
      <c r="M64" s="1">
        <f t="shared" si="9"/>
        <v>344.91836433637764</v>
      </c>
      <c r="N64" s="1">
        <f>SUM(M64:$M$102)</f>
        <v>16962.168035209052</v>
      </c>
      <c r="O64" s="1">
        <f>SUM(N64:$N$102)</f>
        <v>292865.84745066601</v>
      </c>
    </row>
    <row r="65" spans="1:15" x14ac:dyDescent="0.25">
      <c r="A65">
        <v>63</v>
      </c>
      <c r="B65" s="1">
        <f t="shared" si="7"/>
        <v>883728.14480407373</v>
      </c>
      <c r="C65" s="1">
        <f t="shared" si="4"/>
        <v>8346.8123276744736</v>
      </c>
      <c r="D65" s="4" t="s">
        <v>80</v>
      </c>
      <c r="E65">
        <f t="shared" si="5"/>
        <v>0.99055499999999996</v>
      </c>
      <c r="F65" s="1">
        <f t="shared" si="6"/>
        <v>879554.73864023644</v>
      </c>
      <c r="G65" s="1">
        <f>SUM(F65:$F$102)</f>
        <v>17469720.202330526</v>
      </c>
      <c r="H65">
        <f t="shared" si="0"/>
        <v>9.4898156544280347E-3</v>
      </c>
      <c r="I65" s="1">
        <f t="shared" si="1"/>
        <v>19.768206212560578</v>
      </c>
      <c r="J65" s="1">
        <f t="shared" si="8"/>
        <v>40868.890255137645</v>
      </c>
      <c r="K65" s="1">
        <f>SUM(J65:$J$102)</f>
        <v>509284.45226956386</v>
      </c>
      <c r="L65" s="1">
        <f>SUM(K65:$K$102)</f>
        <v>4900996.2299362458</v>
      </c>
      <c r="M65" s="1">
        <f t="shared" si="9"/>
        <v>367.62539853311898</v>
      </c>
      <c r="N65" s="1">
        <f>SUM(M65:$M$102)</f>
        <v>16617.249670872672</v>
      </c>
      <c r="O65" s="1">
        <f>SUM(N65:$N$102)</f>
        <v>275903.67941545701</v>
      </c>
    </row>
    <row r="66" spans="1:15" x14ac:dyDescent="0.25">
      <c r="A66">
        <v>64</v>
      </c>
      <c r="B66" s="1">
        <f t="shared" si="7"/>
        <v>875381.33247639926</v>
      </c>
      <c r="C66" s="1">
        <f t="shared" ref="C66:C102" si="10">B66-B67</f>
        <v>9242.2761082857614</v>
      </c>
      <c r="D66" s="4" t="s">
        <v>81</v>
      </c>
      <c r="E66">
        <f t="shared" ref="E66:E102" si="11">1-D66</f>
        <v>0.98944200000000004</v>
      </c>
      <c r="F66" s="1">
        <f t="shared" ref="F66:F102" si="12">(B66+B67)/2</f>
        <v>870760.19442225643</v>
      </c>
      <c r="G66" s="1">
        <f>SUM(F66:$F$102)</f>
        <v>16590165.463690287</v>
      </c>
      <c r="H66">
        <f t="shared" ref="H66:H102" si="13">C66/F66</f>
        <v>1.0614031472141362E-2</v>
      </c>
      <c r="I66" s="1">
        <f t="shared" ref="I66:I102" si="14">G66/B66</f>
        <v>18.951929688468159</v>
      </c>
      <c r="J66" s="1">
        <f t="shared" ref="J66:J102" si="15">($R$5^A66)*B66</f>
        <v>38555.127225407494</v>
      </c>
      <c r="K66" s="1">
        <f>SUM(J66:$J$102)</f>
        <v>468415.56201442622</v>
      </c>
      <c r="L66" s="1">
        <f>SUM(K66:$K$102)</f>
        <v>4391711.7776666824</v>
      </c>
      <c r="M66" s="1">
        <f t="shared" ref="M66:M102" si="16">(($R$5^(1+A66))*C66)</f>
        <v>387.68098404366623</v>
      </c>
      <c r="N66" s="1">
        <f>SUM(M66:$M$102)</f>
        <v>16249.624272339553</v>
      </c>
      <c r="O66" s="1">
        <f>SUM(N66:$N$102)</f>
        <v>259286.42974458437</v>
      </c>
    </row>
    <row r="67" spans="1:15" x14ac:dyDescent="0.25">
      <c r="A67">
        <v>65</v>
      </c>
      <c r="B67" s="1">
        <f t="shared" ref="B67:B102" si="17">B66*E66</f>
        <v>866139.0563681135</v>
      </c>
      <c r="C67" s="1">
        <f t="shared" si="10"/>
        <v>10145.952906296123</v>
      </c>
      <c r="D67" s="4" t="s">
        <v>82</v>
      </c>
      <c r="E67">
        <f t="shared" si="11"/>
        <v>0.988286</v>
      </c>
      <c r="F67" s="1">
        <f t="shared" si="12"/>
        <v>861066.07991496543</v>
      </c>
      <c r="G67" s="1">
        <f>SUM(F67:$F$102)</f>
        <v>15719405.26926803</v>
      </c>
      <c r="H67">
        <f t="shared" si="13"/>
        <v>1.178301310777227E-2</v>
      </c>
      <c r="I67" s="1">
        <f t="shared" si="14"/>
        <v>18.148823971964156</v>
      </c>
      <c r="J67" s="1">
        <f t="shared" si="15"/>
        <v>36331.487802058706</v>
      </c>
      <c r="K67" s="1">
        <f>SUM(J67:$J$102)</f>
        <v>429860.43478901871</v>
      </c>
      <c r="L67" s="1">
        <f>SUM(K67:$K$102)</f>
        <v>3923296.2156522595</v>
      </c>
      <c r="M67" s="1">
        <f t="shared" si="16"/>
        <v>405.32099820315943</v>
      </c>
      <c r="N67" s="1">
        <f>SUM(M67:$M$102)</f>
        <v>15861.943288295888</v>
      </c>
      <c r="O67" s="1">
        <f>SUM(N67:$N$102)</f>
        <v>243036.80547224483</v>
      </c>
    </row>
    <row r="68" spans="1:15" x14ac:dyDescent="0.25">
      <c r="A68">
        <v>66</v>
      </c>
      <c r="B68" s="1">
        <f t="shared" si="17"/>
        <v>855993.10346181737</v>
      </c>
      <c r="C68" s="1">
        <f t="shared" si="10"/>
        <v>11088.534662244376</v>
      </c>
      <c r="D68" s="4" t="s">
        <v>83</v>
      </c>
      <c r="E68">
        <f t="shared" si="11"/>
        <v>0.98704599999999998</v>
      </c>
      <c r="F68" s="1">
        <f t="shared" si="12"/>
        <v>850448.83613069518</v>
      </c>
      <c r="G68" s="1">
        <f>SUM(F68:$F$102)</f>
        <v>14858339.189353066</v>
      </c>
      <c r="H68">
        <f t="shared" si="13"/>
        <v>1.3038450040914999E-2</v>
      </c>
      <c r="I68" s="1">
        <f t="shared" si="14"/>
        <v>17.358012733119924</v>
      </c>
      <c r="J68" s="1">
        <f t="shared" si="15"/>
        <v>34196.095956138466</v>
      </c>
      <c r="K68" s="1">
        <f>SUM(J68:$J$102)</f>
        <v>393528.94698696007</v>
      </c>
      <c r="L68" s="1">
        <f>SUM(K68:$K$102)</f>
        <v>3493435.7808632404</v>
      </c>
      <c r="M68" s="1">
        <f t="shared" si="16"/>
        <v>421.88212096744513</v>
      </c>
      <c r="N68" s="1">
        <f>SUM(M68:$M$102)</f>
        <v>15456.622290092726</v>
      </c>
      <c r="O68" s="1">
        <f>SUM(N68:$N$102)</f>
        <v>227174.86218394892</v>
      </c>
    </row>
    <row r="69" spans="1:15" x14ac:dyDescent="0.25">
      <c r="A69">
        <v>67</v>
      </c>
      <c r="B69" s="1">
        <f t="shared" si="17"/>
        <v>844904.568799573</v>
      </c>
      <c r="C69" s="1">
        <f t="shared" si="10"/>
        <v>11745.018410882913</v>
      </c>
      <c r="D69" s="4" t="s">
        <v>84</v>
      </c>
      <c r="E69">
        <f t="shared" si="11"/>
        <v>0.98609899999999995</v>
      </c>
      <c r="F69" s="1">
        <f t="shared" si="12"/>
        <v>839032.05959413154</v>
      </c>
      <c r="G69" s="1">
        <f>SUM(F69:$F$102)</f>
        <v>14007890.353222372</v>
      </c>
      <c r="H69">
        <f t="shared" si="13"/>
        <v>1.3998295150443213E-2</v>
      </c>
      <c r="I69" s="1">
        <f t="shared" si="14"/>
        <v>16.579257433918912</v>
      </c>
      <c r="J69" s="1">
        <f t="shared" si="15"/>
        <v>32145.82831345014</v>
      </c>
      <c r="K69" s="1">
        <f>SUM(J69:$J$102)</f>
        <v>359332.85103082168</v>
      </c>
      <c r="L69" s="1">
        <f>SUM(K69:$K$102)</f>
        <v>3099906.8338762806</v>
      </c>
      <c r="M69" s="1">
        <f t="shared" si="16"/>
        <v>425.58015179549739</v>
      </c>
      <c r="N69" s="1">
        <f>SUM(M69:$M$102)</f>
        <v>15034.74016912528</v>
      </c>
      <c r="O69" s="1">
        <f>SUM(N69:$N$102)</f>
        <v>211718.23989385617</v>
      </c>
    </row>
    <row r="70" spans="1:15" x14ac:dyDescent="0.25">
      <c r="A70">
        <v>68</v>
      </c>
      <c r="B70" s="1">
        <f t="shared" si="17"/>
        <v>833159.55038869008</v>
      </c>
      <c r="C70" s="1">
        <f t="shared" si="10"/>
        <v>13508.848950002226</v>
      </c>
      <c r="D70" s="4" t="s">
        <v>85</v>
      </c>
      <c r="E70">
        <f t="shared" si="11"/>
        <v>0.98378600000000005</v>
      </c>
      <c r="F70" s="1">
        <f t="shared" si="12"/>
        <v>826405.12591368891</v>
      </c>
      <c r="G70" s="1">
        <f>SUM(F70:$F$102)</f>
        <v>13168858.29362824</v>
      </c>
      <c r="H70">
        <f t="shared" si="13"/>
        <v>1.6346521247755562E-2</v>
      </c>
      <c r="I70" s="1">
        <f t="shared" si="14"/>
        <v>15.805926112813125</v>
      </c>
      <c r="J70" s="1">
        <f t="shared" si="15"/>
        <v>30189.494432442731</v>
      </c>
      <c r="K70" s="1">
        <f>SUM(J70:$J$102)</f>
        <v>327187.02271737158</v>
      </c>
      <c r="L70" s="1">
        <f>SUM(K70:$K$102)</f>
        <v>2740573.9828454591</v>
      </c>
      <c r="M70" s="1">
        <f t="shared" si="16"/>
        <v>466.18329783583482</v>
      </c>
      <c r="N70" s="1">
        <f>SUM(M70:$M$102)</f>
        <v>14609.160017329783</v>
      </c>
      <c r="O70" s="1">
        <f>SUM(N70:$N$102)</f>
        <v>196683.49972473088</v>
      </c>
    </row>
    <row r="71" spans="1:15" x14ac:dyDescent="0.25">
      <c r="A71">
        <v>69</v>
      </c>
      <c r="B71" s="1">
        <f t="shared" si="17"/>
        <v>819650.70143868786</v>
      </c>
      <c r="C71" s="1">
        <f t="shared" si="10"/>
        <v>15325.828815500601</v>
      </c>
      <c r="D71" s="4" t="s">
        <v>86</v>
      </c>
      <c r="E71">
        <f t="shared" si="11"/>
        <v>0.98130200000000001</v>
      </c>
      <c r="F71" s="1">
        <f t="shared" si="12"/>
        <v>811987.78703093762</v>
      </c>
      <c r="G71" s="1">
        <f>SUM(F71:$F$102)</f>
        <v>12342453.167714549</v>
      </c>
      <c r="H71">
        <f t="shared" si="13"/>
        <v>1.8874457301309964E-2</v>
      </c>
      <c r="I71" s="1">
        <f t="shared" si="14"/>
        <v>15.058186549527157</v>
      </c>
      <c r="J71" s="1">
        <f t="shared" si="15"/>
        <v>28285.716161633431</v>
      </c>
      <c r="K71" s="1">
        <f>SUM(J71:$J$102)</f>
        <v>296997.52828492876</v>
      </c>
      <c r="L71" s="1">
        <f>SUM(K71:$K$102)</f>
        <v>2413386.9601280871</v>
      </c>
      <c r="M71" s="1">
        <f t="shared" si="16"/>
        <v>503.70125789544994</v>
      </c>
      <c r="N71" s="1">
        <f>SUM(M71:$M$102)</f>
        <v>14142.97671949395</v>
      </c>
      <c r="O71" s="1">
        <f>SUM(N71:$N$102)</f>
        <v>182074.33970740109</v>
      </c>
    </row>
    <row r="72" spans="1:15" x14ac:dyDescent="0.25">
      <c r="A72">
        <v>70</v>
      </c>
      <c r="B72" s="1">
        <f t="shared" si="17"/>
        <v>804324.87262318726</v>
      </c>
      <c r="C72" s="1">
        <f t="shared" si="10"/>
        <v>16996.993208273198</v>
      </c>
      <c r="D72" s="4" t="s">
        <v>87</v>
      </c>
      <c r="E72">
        <f t="shared" si="11"/>
        <v>0.97886799999999996</v>
      </c>
      <c r="F72" s="1">
        <f t="shared" si="12"/>
        <v>795826.3760190506</v>
      </c>
      <c r="G72" s="1">
        <f>SUM(F72:$F$102)</f>
        <v>11530465.380683614</v>
      </c>
      <c r="H72">
        <f t="shared" si="13"/>
        <v>2.135766508933391E-2</v>
      </c>
      <c r="I72" s="1">
        <f t="shared" si="14"/>
        <v>14.335582266750867</v>
      </c>
      <c r="J72" s="1">
        <f t="shared" si="15"/>
        <v>26435.076038898296</v>
      </c>
      <c r="K72" s="1">
        <f>SUM(J72:$J$102)</f>
        <v>268711.81212329544</v>
      </c>
      <c r="L72" s="1">
        <f>SUM(K72:$K$102)</f>
        <v>2116389.4318431574</v>
      </c>
      <c r="M72" s="1">
        <f t="shared" si="16"/>
        <v>532.02478747999885</v>
      </c>
      <c r="N72" s="1">
        <f>SUM(M72:$M$102)</f>
        <v>13639.275461598498</v>
      </c>
      <c r="O72" s="1">
        <f>SUM(N72:$N$102)</f>
        <v>167931.36298790711</v>
      </c>
    </row>
    <row r="73" spans="1:15" x14ac:dyDescent="0.25">
      <c r="A73">
        <v>71</v>
      </c>
      <c r="B73" s="1">
        <f t="shared" si="17"/>
        <v>787327.87941491406</v>
      </c>
      <c r="C73" s="1">
        <f t="shared" si="10"/>
        <v>18475.436018350418</v>
      </c>
      <c r="D73" s="4" t="s">
        <v>88</v>
      </c>
      <c r="E73">
        <f t="shared" si="11"/>
        <v>0.97653400000000001</v>
      </c>
      <c r="F73" s="1">
        <f t="shared" si="12"/>
        <v>778090.16140573891</v>
      </c>
      <c r="G73" s="1">
        <f>SUM(F73:$F$102)</f>
        <v>10734639.004664561</v>
      </c>
      <c r="H73">
        <f t="shared" si="13"/>
        <v>2.3744595337090134E-2</v>
      </c>
      <c r="I73" s="1">
        <f t="shared" si="14"/>
        <v>13.63426760988291</v>
      </c>
      <c r="J73" s="1">
        <f t="shared" si="15"/>
        <v>24644.238106708846</v>
      </c>
      <c r="K73" s="1">
        <f>SUM(J73:$J$102)</f>
        <v>242276.73608439724</v>
      </c>
      <c r="L73" s="1">
        <f>SUM(K73:$K$102)</f>
        <v>1847677.6197198618</v>
      </c>
      <c r="M73" s="1">
        <f t="shared" si="16"/>
        <v>550.76351563050594</v>
      </c>
      <c r="N73" s="1">
        <f>SUM(M73:$M$102)</f>
        <v>13107.250674118501</v>
      </c>
      <c r="O73" s="1">
        <f>SUM(N73:$N$102)</f>
        <v>154292.08752630861</v>
      </c>
    </row>
    <row r="74" spans="1:15" x14ac:dyDescent="0.25">
      <c r="A74">
        <v>72</v>
      </c>
      <c r="B74" s="1">
        <f t="shared" si="17"/>
        <v>768852.44339656364</v>
      </c>
      <c r="C74" s="1">
        <f t="shared" si="10"/>
        <v>19834.086482301122</v>
      </c>
      <c r="D74" s="4" t="s">
        <v>89</v>
      </c>
      <c r="E74">
        <f t="shared" si="11"/>
        <v>0.97420300000000004</v>
      </c>
      <c r="F74" s="1">
        <f t="shared" si="12"/>
        <v>758935.40015541308</v>
      </c>
      <c r="G74" s="1">
        <f>SUM(F74:$F$102)</f>
        <v>9956548.8432588261</v>
      </c>
      <c r="H74">
        <f t="shared" si="13"/>
        <v>2.6134090567180742E-2</v>
      </c>
      <c r="I74" s="1">
        <f t="shared" si="14"/>
        <v>12.949882553892559</v>
      </c>
      <c r="J74" s="1">
        <f t="shared" si="15"/>
        <v>22919.939443139825</v>
      </c>
      <c r="K74" s="1">
        <f>SUM(J74:$J$102)</f>
        <v>217632.49797768841</v>
      </c>
      <c r="L74" s="1">
        <f>SUM(K74:$K$102)</f>
        <v>1605400.8836354644</v>
      </c>
      <c r="M74" s="1">
        <f t="shared" si="16"/>
        <v>563.11016934731163</v>
      </c>
      <c r="N74" s="1">
        <f>SUM(M74:$M$102)</f>
        <v>12556.487158487993</v>
      </c>
      <c r="O74" s="1">
        <f>SUM(N74:$N$102)</f>
        <v>141184.83685219008</v>
      </c>
    </row>
    <row r="75" spans="1:15" x14ac:dyDescent="0.25">
      <c r="A75">
        <v>73</v>
      </c>
      <c r="B75" s="1">
        <f t="shared" si="17"/>
        <v>749018.35691426252</v>
      </c>
      <c r="C75" s="1">
        <f t="shared" si="10"/>
        <v>21484.842549728695</v>
      </c>
      <c r="D75" s="4" t="s">
        <v>90</v>
      </c>
      <c r="E75">
        <f t="shared" si="11"/>
        <v>0.97131599999999996</v>
      </c>
      <c r="F75" s="1">
        <f t="shared" si="12"/>
        <v>738275.93563939817</v>
      </c>
      <c r="G75" s="1">
        <f>SUM(F75:$F$102)</f>
        <v>9197613.4431034122</v>
      </c>
      <c r="H75">
        <f t="shared" si="13"/>
        <v>2.9101371875437512E-2</v>
      </c>
      <c r="I75" s="1">
        <f t="shared" si="14"/>
        <v>12.27955678015009</v>
      </c>
      <c r="J75" s="1">
        <f t="shared" si="15"/>
        <v>21265.403586023953</v>
      </c>
      <c r="K75" s="1">
        <f>SUM(J75:$J$102)</f>
        <v>194712.55853454862</v>
      </c>
      <c r="L75" s="1">
        <f>SUM(K75:$K$102)</f>
        <v>1387768.3856577761</v>
      </c>
      <c r="M75" s="1">
        <f t="shared" si="16"/>
        <v>580.93032043953394</v>
      </c>
      <c r="N75" s="1">
        <f>SUM(M75:$M$102)</f>
        <v>11993.376989140679</v>
      </c>
      <c r="O75" s="1">
        <f>SUM(N75:$N$102)</f>
        <v>128628.349693702</v>
      </c>
    </row>
    <row r="76" spans="1:15" x14ac:dyDescent="0.25">
      <c r="A76">
        <v>74</v>
      </c>
      <c r="B76" s="1">
        <f t="shared" si="17"/>
        <v>727533.51436453382</v>
      </c>
      <c r="C76" s="1">
        <f t="shared" si="10"/>
        <v>23112.284684332553</v>
      </c>
      <c r="D76" s="4" t="s">
        <v>91</v>
      </c>
      <c r="E76">
        <f t="shared" si="11"/>
        <v>0.96823199999999998</v>
      </c>
      <c r="F76" s="1">
        <f t="shared" si="12"/>
        <v>715977.37202236755</v>
      </c>
      <c r="G76" s="1">
        <f>SUM(F76:$F$102)</f>
        <v>8459337.5074640159</v>
      </c>
      <c r="H76">
        <f t="shared" si="13"/>
        <v>3.2280747391567721E-2</v>
      </c>
      <c r="I76" s="1">
        <f t="shared" si="14"/>
        <v>11.627419686435816</v>
      </c>
      <c r="J76" s="1">
        <f t="shared" si="15"/>
        <v>19671.834999583276</v>
      </c>
      <c r="K76" s="1">
        <f>SUM(J76:$J$102)</f>
        <v>173447.15494852467</v>
      </c>
      <c r="L76" s="1">
        <f>SUM(K76:$K$102)</f>
        <v>1193055.8271232278</v>
      </c>
      <c r="M76" s="1">
        <f t="shared" si="16"/>
        <v>595.17605168263105</v>
      </c>
      <c r="N76" s="1">
        <f>SUM(M76:$M$102)</f>
        <v>11412.446668701146</v>
      </c>
      <c r="O76" s="1">
        <f>SUM(N76:$N$102)</f>
        <v>116634.97270456133</v>
      </c>
    </row>
    <row r="77" spans="1:15" x14ac:dyDescent="0.25">
      <c r="A77">
        <v>75</v>
      </c>
      <c r="B77" s="1">
        <f t="shared" si="17"/>
        <v>704421.22968020127</v>
      </c>
      <c r="C77" s="1">
        <f t="shared" si="10"/>
        <v>24480.046573846368</v>
      </c>
      <c r="D77" s="4" t="s">
        <v>92</v>
      </c>
      <c r="E77">
        <f t="shared" si="11"/>
        <v>0.96524799999999999</v>
      </c>
      <c r="F77" s="1">
        <f t="shared" si="12"/>
        <v>692181.20639327809</v>
      </c>
      <c r="G77" s="1">
        <f>SUM(F77:$F$102)</f>
        <v>7743360.135441646</v>
      </c>
      <c r="H77">
        <f t="shared" si="13"/>
        <v>3.5366528804507136E-2</v>
      </c>
      <c r="I77" s="1">
        <f t="shared" si="14"/>
        <v>10.992513866961446</v>
      </c>
      <c r="J77" s="1">
        <f t="shared" si="15"/>
        <v>18139.904900301441</v>
      </c>
      <c r="K77" s="1">
        <f>SUM(J77:$J$102)</f>
        <v>153775.31994894135</v>
      </c>
      <c r="L77" s="1">
        <f>SUM(K77:$K$102)</f>
        <v>1019608.6721747027</v>
      </c>
      <c r="M77" s="1">
        <f t="shared" si="16"/>
        <v>600.37902390026284</v>
      </c>
      <c r="N77" s="1">
        <f>SUM(M77:$M$102)</f>
        <v>10817.270617018517</v>
      </c>
      <c r="O77" s="1">
        <f>SUM(N77:$N$102)</f>
        <v>105222.5260358602</v>
      </c>
    </row>
    <row r="78" spans="1:15" x14ac:dyDescent="0.25">
      <c r="A78">
        <v>76</v>
      </c>
      <c r="B78" s="1">
        <f t="shared" si="17"/>
        <v>679941.1831063549</v>
      </c>
      <c r="C78" s="1">
        <f t="shared" si="10"/>
        <v>25726.254604012007</v>
      </c>
      <c r="D78" s="4" t="s">
        <v>93</v>
      </c>
      <c r="E78">
        <f t="shared" si="11"/>
        <v>0.96216400000000002</v>
      </c>
      <c r="F78" s="1">
        <f t="shared" si="12"/>
        <v>667078.0558043489</v>
      </c>
      <c r="G78" s="1">
        <f>SUM(F78:$F$102)</f>
        <v>7051178.9290483687</v>
      </c>
      <c r="H78">
        <f t="shared" si="13"/>
        <v>3.8565583712676356E-2</v>
      </c>
      <c r="I78" s="1">
        <f t="shared" si="14"/>
        <v>10.370277759665337</v>
      </c>
      <c r="J78" s="1">
        <f t="shared" si="15"/>
        <v>16675.720881148729</v>
      </c>
      <c r="K78" s="1">
        <f>SUM(J78:$J$102)</f>
        <v>135635.41504863993</v>
      </c>
      <c r="L78" s="1">
        <f>SUM(K78:$K$102)</f>
        <v>865833.35222576139</v>
      </c>
      <c r="M78" s="1">
        <f t="shared" si="16"/>
        <v>600.89769072299259</v>
      </c>
      <c r="N78" s="1">
        <f>SUM(M78:$M$102)</f>
        <v>10216.891593118255</v>
      </c>
      <c r="O78" s="1">
        <f>SUM(N78:$N$102)</f>
        <v>94405.255418841654</v>
      </c>
    </row>
    <row r="79" spans="1:15" x14ac:dyDescent="0.25">
      <c r="A79">
        <v>77</v>
      </c>
      <c r="B79" s="1">
        <f t="shared" si="17"/>
        <v>654214.9285023429</v>
      </c>
      <c r="C79" s="1">
        <f t="shared" si="10"/>
        <v>27480.298071740894</v>
      </c>
      <c r="D79" s="4" t="s">
        <v>94</v>
      </c>
      <c r="E79">
        <f t="shared" si="11"/>
        <v>0.95799500000000004</v>
      </c>
      <c r="F79" s="1">
        <f t="shared" si="12"/>
        <v>640474.77946647245</v>
      </c>
      <c r="G79" s="1">
        <f>SUM(F79:$F$102)</f>
        <v>6384100.8732440192</v>
      </c>
      <c r="H79">
        <f t="shared" si="13"/>
        <v>4.2906136123943082E-2</v>
      </c>
      <c r="I79" s="1">
        <f t="shared" si="14"/>
        <v>9.7584151554883949</v>
      </c>
      <c r="J79" s="1">
        <f t="shared" si="15"/>
        <v>15280.741243704366</v>
      </c>
      <c r="K79" s="1">
        <f>SUM(J79:$J$102)</f>
        <v>118959.69416749116</v>
      </c>
      <c r="L79" s="1">
        <f>SUM(K79:$K$102)</f>
        <v>730197.93717712141</v>
      </c>
      <c r="M79" s="1">
        <f t="shared" si="16"/>
        <v>611.30241518266803</v>
      </c>
      <c r="N79" s="1">
        <f>SUM(M79:$M$102)</f>
        <v>9615.9939023952629</v>
      </c>
      <c r="O79" s="1">
        <f>SUM(N79:$N$102)</f>
        <v>84188.363825723412</v>
      </c>
    </row>
    <row r="80" spans="1:15" x14ac:dyDescent="0.25">
      <c r="A80">
        <v>78</v>
      </c>
      <c r="B80" s="1">
        <f t="shared" si="17"/>
        <v>626734.630430602</v>
      </c>
      <c r="C80" s="1">
        <f t="shared" si="10"/>
        <v>29771.148414714495</v>
      </c>
      <c r="D80" s="4" t="s">
        <v>95</v>
      </c>
      <c r="E80">
        <f t="shared" si="11"/>
        <v>0.95249799999999996</v>
      </c>
      <c r="F80" s="1">
        <f t="shared" si="12"/>
        <v>611849.05622324476</v>
      </c>
      <c r="G80" s="1">
        <f>SUM(F80:$F$102)</f>
        <v>5743626.0937775467</v>
      </c>
      <c r="H80">
        <f t="shared" si="13"/>
        <v>4.8657668279301756E-2</v>
      </c>
      <c r="I80" s="1">
        <f t="shared" si="14"/>
        <v>9.164366886558275</v>
      </c>
      <c r="J80" s="1">
        <f t="shared" si="15"/>
        <v>13941.784483583393</v>
      </c>
      <c r="K80" s="1">
        <f>SUM(J80:$J$102)</f>
        <v>103678.95292378681</v>
      </c>
      <c r="L80" s="1">
        <f>SUM(K80:$K$102)</f>
        <v>611238.24300963036</v>
      </c>
      <c r="M80" s="1">
        <f t="shared" si="16"/>
        <v>630.72633003731357</v>
      </c>
      <c r="N80" s="1">
        <f>SUM(M80:$M$102)</f>
        <v>9004.6914872125944</v>
      </c>
      <c r="O80" s="1">
        <f>SUM(N80:$N$102)</f>
        <v>74572.369923328151</v>
      </c>
    </row>
    <row r="81" spans="1:15" x14ac:dyDescent="0.25">
      <c r="A81">
        <v>79</v>
      </c>
      <c r="B81" s="1">
        <f t="shared" si="17"/>
        <v>596963.48201588751</v>
      </c>
      <c r="C81" s="1">
        <f t="shared" si="10"/>
        <v>31588.919614352635</v>
      </c>
      <c r="D81" s="4" t="s">
        <v>96</v>
      </c>
      <c r="E81">
        <f t="shared" si="11"/>
        <v>0.94708400000000004</v>
      </c>
      <c r="F81" s="1">
        <f t="shared" si="12"/>
        <v>581169.02220871113</v>
      </c>
      <c r="G81" s="1">
        <f>SUM(F81:$F$102)</f>
        <v>5131777.0375543023</v>
      </c>
      <c r="H81">
        <f t="shared" si="13"/>
        <v>5.4354100798938196E-2</v>
      </c>
      <c r="I81" s="1">
        <f t="shared" si="14"/>
        <v>8.5964672750580835</v>
      </c>
      <c r="J81" s="1">
        <f t="shared" si="15"/>
        <v>12647.163654327824</v>
      </c>
      <c r="K81" s="1">
        <f>SUM(J81:$J$102)</f>
        <v>89737.16844020343</v>
      </c>
      <c r="L81" s="1">
        <f>SUM(K81:$K$102)</f>
        <v>507559.29008584371</v>
      </c>
      <c r="M81" s="1">
        <f t="shared" si="16"/>
        <v>637.36886850705673</v>
      </c>
      <c r="N81" s="1">
        <f>SUM(M81:$M$102)</f>
        <v>8373.9651571752784</v>
      </c>
      <c r="O81" s="1">
        <f>SUM(N81:$N$102)</f>
        <v>65567.678436115588</v>
      </c>
    </row>
    <row r="82" spans="1:15" x14ac:dyDescent="0.25">
      <c r="A82">
        <v>80</v>
      </c>
      <c r="B82" s="1">
        <f t="shared" si="17"/>
        <v>565374.56240153487</v>
      </c>
      <c r="C82" s="1">
        <f t="shared" si="10"/>
        <v>33365.014425564208</v>
      </c>
      <c r="D82" s="4" t="s">
        <v>97</v>
      </c>
      <c r="E82">
        <f t="shared" si="11"/>
        <v>0.94098599999999999</v>
      </c>
      <c r="F82" s="1">
        <f t="shared" si="12"/>
        <v>548692.05518875271</v>
      </c>
      <c r="G82" s="1">
        <f>SUM(F82:$F$102)</f>
        <v>4550608.0153455902</v>
      </c>
      <c r="H82">
        <f t="shared" si="13"/>
        <v>6.0808269611424361E-2</v>
      </c>
      <c r="I82" s="1">
        <f t="shared" si="14"/>
        <v>8.0488375635720608</v>
      </c>
      <c r="J82" s="1">
        <f t="shared" si="15"/>
        <v>11407.54889751944</v>
      </c>
      <c r="K82" s="1">
        <f>SUM(J82:$J$102)</f>
        <v>77090.004785875586</v>
      </c>
      <c r="L82" s="1">
        <f>SUM(K82:$K$102)</f>
        <v>417822.12164564029</v>
      </c>
      <c r="M82" s="1">
        <f t="shared" si="16"/>
        <v>641.14770536972662</v>
      </c>
      <c r="N82" s="1">
        <f>SUM(M82:$M$102)</f>
        <v>7736.5962886682219</v>
      </c>
      <c r="O82" s="1">
        <f>SUM(N82:$N$102)</f>
        <v>57193.713278940319</v>
      </c>
    </row>
    <row r="83" spans="1:15" x14ac:dyDescent="0.25">
      <c r="A83">
        <v>81</v>
      </c>
      <c r="B83" s="1">
        <f t="shared" si="17"/>
        <v>532009.54797597066</v>
      </c>
      <c r="C83" s="1">
        <f t="shared" si="10"/>
        <v>34691.278604417108</v>
      </c>
      <c r="D83" s="4" t="s">
        <v>98</v>
      </c>
      <c r="E83">
        <f t="shared" si="11"/>
        <v>0.93479199999999996</v>
      </c>
      <c r="F83" s="1">
        <f t="shared" si="12"/>
        <v>514663.90867376211</v>
      </c>
      <c r="G83" s="1">
        <f>SUM(F83:$F$102)</f>
        <v>4001915.9601568375</v>
      </c>
      <c r="H83">
        <f t="shared" si="13"/>
        <v>6.7405695289209408E-2</v>
      </c>
      <c r="I83" s="1">
        <f t="shared" si="14"/>
        <v>7.522263416854301</v>
      </c>
      <c r="J83" s="1">
        <f t="shared" si="15"/>
        <v>10223.184577982123</v>
      </c>
      <c r="K83" s="1">
        <f>SUM(J83:$J$102)</f>
        <v>65682.455888356126</v>
      </c>
      <c r="L83" s="1">
        <f>SUM(K83:$K$102)</f>
        <v>340732.11685976468</v>
      </c>
      <c r="M83" s="1">
        <f t="shared" si="16"/>
        <v>634.88897139148423</v>
      </c>
      <c r="N83" s="1">
        <f>SUM(M83:$M$102)</f>
        <v>7095.4485832984956</v>
      </c>
      <c r="O83" s="1">
        <f>SUM(N83:$N$102)</f>
        <v>49457.116990272094</v>
      </c>
    </row>
    <row r="84" spans="1:15" x14ac:dyDescent="0.25">
      <c r="A84">
        <v>82</v>
      </c>
      <c r="B84" s="1">
        <f t="shared" si="17"/>
        <v>497318.26937155356</v>
      </c>
      <c r="C84" s="1">
        <f t="shared" si="10"/>
        <v>36227.149332370842</v>
      </c>
      <c r="D84" s="4" t="s">
        <v>99</v>
      </c>
      <c r="E84">
        <f t="shared" si="11"/>
        <v>0.92715499999999995</v>
      </c>
      <c r="F84" s="1">
        <f t="shared" si="12"/>
        <v>479204.69470536814</v>
      </c>
      <c r="G84" s="1">
        <f>SUM(F84:$F$102)</f>
        <v>3487252.0514830756</v>
      </c>
      <c r="H84">
        <f t="shared" si="13"/>
        <v>7.5598485850904618E-2</v>
      </c>
      <c r="I84" s="1">
        <f t="shared" si="14"/>
        <v>7.012113300984927</v>
      </c>
      <c r="J84" s="1">
        <f t="shared" si="15"/>
        <v>9101.477293353395</v>
      </c>
      <c r="K84" s="1">
        <f>SUM(J84:$J$102)</f>
        <v>55459.27131037401</v>
      </c>
      <c r="L84" s="1">
        <f>SUM(K84:$K$102)</f>
        <v>275049.66097140854</v>
      </c>
      <c r="M84" s="1">
        <f t="shared" si="16"/>
        <v>631.425822318408</v>
      </c>
      <c r="N84" s="1">
        <f>SUM(M84:$M$102)</f>
        <v>6460.5596119070115</v>
      </c>
      <c r="O84" s="1">
        <f>SUM(N84:$N$102)</f>
        <v>42361.6684069736</v>
      </c>
    </row>
    <row r="85" spans="1:15" x14ac:dyDescent="0.25">
      <c r="A85">
        <v>83</v>
      </c>
      <c r="B85" s="1">
        <f t="shared" si="17"/>
        <v>461091.12003918272</v>
      </c>
      <c r="C85" s="1">
        <f t="shared" si="10"/>
        <v>38716.899167450087</v>
      </c>
      <c r="D85" s="4" t="s">
        <v>100</v>
      </c>
      <c r="E85">
        <f t="shared" si="11"/>
        <v>0.91603199999999996</v>
      </c>
      <c r="F85" s="1">
        <f t="shared" si="12"/>
        <v>441732.67045545764</v>
      </c>
      <c r="G85" s="1">
        <f>SUM(F85:$F$102)</f>
        <v>3008047.3567777076</v>
      </c>
      <c r="H85">
        <f t="shared" si="13"/>
        <v>8.7647805464626888E-2</v>
      </c>
      <c r="I85" s="1">
        <f t="shared" si="14"/>
        <v>6.5237590273308426</v>
      </c>
      <c r="J85" s="1">
        <f t="shared" si="15"/>
        <v>8036.6477903991099</v>
      </c>
      <c r="K85" s="1">
        <f>SUM(J85:$J$102)</f>
        <v>46357.794017020613</v>
      </c>
      <c r="L85" s="1">
        <f>SUM(K85:$K$102)</f>
        <v>219590.3896610346</v>
      </c>
      <c r="M85" s="1">
        <f t="shared" si="16"/>
        <v>642.68689682307831</v>
      </c>
      <c r="N85" s="1">
        <f>SUM(M85:$M$102)</f>
        <v>5829.1337895886027</v>
      </c>
      <c r="O85" s="1">
        <f>SUM(N85:$N$102)</f>
        <v>35901.10879506659</v>
      </c>
    </row>
    <row r="86" spans="1:15" x14ac:dyDescent="0.25">
      <c r="A86">
        <v>84</v>
      </c>
      <c r="B86" s="1">
        <f t="shared" si="17"/>
        <v>422374.22087173263</v>
      </c>
      <c r="C86" s="1">
        <f t="shared" si="10"/>
        <v>39629.683647511178</v>
      </c>
      <c r="D86" s="4" t="s">
        <v>101</v>
      </c>
      <c r="E86">
        <f t="shared" si="11"/>
        <v>0.90617400000000004</v>
      </c>
      <c r="F86" s="1">
        <f t="shared" si="12"/>
        <v>402559.37904797704</v>
      </c>
      <c r="G86" s="1">
        <f>SUM(F86:$F$102)</f>
        <v>2566314.6863222499</v>
      </c>
      <c r="H86">
        <f t="shared" si="13"/>
        <v>9.8444318304624842E-2</v>
      </c>
      <c r="I86" s="1">
        <f t="shared" si="14"/>
        <v>6.0759264166872367</v>
      </c>
      <c r="J86" s="1">
        <f t="shared" si="15"/>
        <v>7011.2633797475019</v>
      </c>
      <c r="K86" s="1">
        <f>SUM(J86:$J$102)</f>
        <v>38321.146226621495</v>
      </c>
      <c r="L86" s="1">
        <f>SUM(K86:$K$102)</f>
        <v>173232.59564401399</v>
      </c>
      <c r="M86" s="1">
        <f t="shared" si="16"/>
        <v>626.51314082684655</v>
      </c>
      <c r="N86" s="1">
        <f>SUM(M86:$M$102)</f>
        <v>5186.4468927655244</v>
      </c>
      <c r="O86" s="1">
        <f>SUM(N86:$N$102)</f>
        <v>30071.975005477965</v>
      </c>
    </row>
    <row r="87" spans="1:15" x14ac:dyDescent="0.25">
      <c r="A87">
        <v>85</v>
      </c>
      <c r="B87" s="1">
        <f t="shared" si="17"/>
        <v>382744.53722422145</v>
      </c>
      <c r="C87" s="1">
        <f t="shared" si="10"/>
        <v>39996.038650856703</v>
      </c>
      <c r="D87" s="4" t="s">
        <v>102</v>
      </c>
      <c r="E87">
        <f t="shared" si="11"/>
        <v>0.89550200000000002</v>
      </c>
      <c r="F87" s="1">
        <f t="shared" si="12"/>
        <v>362746.5178987931</v>
      </c>
      <c r="G87" s="1">
        <f>SUM(F87:$F$102)</f>
        <v>2163755.3072742731</v>
      </c>
      <c r="H87">
        <f t="shared" si="13"/>
        <v>0.11025891821797078</v>
      </c>
      <c r="I87" s="1">
        <f t="shared" si="14"/>
        <v>5.6532624161444023</v>
      </c>
      <c r="J87" s="1">
        <f t="shared" si="15"/>
        <v>6050.8805541707734</v>
      </c>
      <c r="K87" s="1">
        <f>SUM(J87:$J$102)</f>
        <v>31309.882846873992</v>
      </c>
      <c r="L87" s="1">
        <f>SUM(K87:$K$102)</f>
        <v>134911.44941739249</v>
      </c>
      <c r="M87" s="1">
        <f t="shared" si="16"/>
        <v>602.19515823784536</v>
      </c>
      <c r="N87" s="1">
        <f>SUM(M87:$M$102)</f>
        <v>4559.9337519386772</v>
      </c>
      <c r="O87" s="1">
        <f>SUM(N87:$N$102)</f>
        <v>24885.528112712444</v>
      </c>
    </row>
    <row r="88" spans="1:15" x14ac:dyDescent="0.25">
      <c r="A88">
        <v>86</v>
      </c>
      <c r="B88" s="1">
        <f t="shared" si="17"/>
        <v>342748.49857336475</v>
      </c>
      <c r="C88" s="1">
        <f t="shared" si="10"/>
        <v>39773.221271450398</v>
      </c>
      <c r="D88" s="4" t="s">
        <v>103</v>
      </c>
      <c r="E88">
        <f t="shared" si="11"/>
        <v>0.88395800000000002</v>
      </c>
      <c r="F88" s="1">
        <f t="shared" si="12"/>
        <v>322861.88793763955</v>
      </c>
      <c r="G88" s="1">
        <f>SUM(F88:$F$102)</f>
        <v>1801008.7893754798</v>
      </c>
      <c r="H88">
        <f t="shared" si="13"/>
        <v>0.12318958278263106</v>
      </c>
      <c r="I88" s="1">
        <f t="shared" si="14"/>
        <v>5.2546073779225519</v>
      </c>
      <c r="J88" s="1">
        <f t="shared" si="15"/>
        <v>5160.5482266867011</v>
      </c>
      <c r="K88" s="1">
        <f>SUM(J88:$J$102)</f>
        <v>25259.002292703222</v>
      </c>
      <c r="L88" s="1">
        <f>SUM(K88:$K$102)</f>
        <v>103601.56657051849</v>
      </c>
      <c r="M88" s="1">
        <f t="shared" si="16"/>
        <v>570.32413078207446</v>
      </c>
      <c r="N88" s="1">
        <f>SUM(M88:$M$102)</f>
        <v>3957.7385937008316</v>
      </c>
      <c r="O88" s="1">
        <f>SUM(N88:$N$102)</f>
        <v>20325.594360773768</v>
      </c>
    </row>
    <row r="89" spans="1:15" x14ac:dyDescent="0.25">
      <c r="A89">
        <v>87</v>
      </c>
      <c r="B89" s="1">
        <f t="shared" si="17"/>
        <v>302975.27730191435</v>
      </c>
      <c r="C89" s="1">
        <f t="shared" si="10"/>
        <v>38878.090558658936</v>
      </c>
      <c r="D89" s="4" t="s">
        <v>104</v>
      </c>
      <c r="E89">
        <f t="shared" si="11"/>
        <v>0.87167899999999998</v>
      </c>
      <c r="F89" s="1">
        <f t="shared" si="12"/>
        <v>283536.23202258488</v>
      </c>
      <c r="G89" s="1">
        <f>SUM(F89:$F$102)</f>
        <v>1478146.90143784</v>
      </c>
      <c r="H89">
        <f t="shared" si="13"/>
        <v>0.13711859779374555</v>
      </c>
      <c r="I89" s="1">
        <f t="shared" si="14"/>
        <v>4.8787706858499513</v>
      </c>
      <c r="J89" s="1">
        <f t="shared" si="15"/>
        <v>4344.4837041576402</v>
      </c>
      <c r="K89" s="1">
        <f>SUM(J89:$J$102)</f>
        <v>20098.454066016526</v>
      </c>
      <c r="L89" s="1">
        <f>SUM(K89:$K$102)</f>
        <v>78342.564277815269</v>
      </c>
      <c r="M89" s="1">
        <f t="shared" si="16"/>
        <v>530.94142228686894</v>
      </c>
      <c r="N89" s="1">
        <f>SUM(M89:$M$102)</f>
        <v>3387.4144629187572</v>
      </c>
      <c r="O89" s="1">
        <f>SUM(N89:$N$102)</f>
        <v>16367.855767072939</v>
      </c>
    </row>
    <row r="90" spans="1:15" x14ac:dyDescent="0.25">
      <c r="A90">
        <v>88</v>
      </c>
      <c r="B90" s="1">
        <f t="shared" si="17"/>
        <v>264097.18674325541</v>
      </c>
      <c r="C90" s="1">
        <f t="shared" si="10"/>
        <v>37237.439233612269</v>
      </c>
      <c r="D90" s="4" t="s">
        <v>105</v>
      </c>
      <c r="E90">
        <f t="shared" si="11"/>
        <v>0.85900100000000001</v>
      </c>
      <c r="F90" s="1">
        <f t="shared" si="12"/>
        <v>245478.46712644928</v>
      </c>
      <c r="G90" s="1">
        <f>SUM(F90:$F$102)</f>
        <v>1194610.6694152551</v>
      </c>
      <c r="H90">
        <f t="shared" si="13"/>
        <v>0.15169330194012806</v>
      </c>
      <c r="I90" s="1">
        <f t="shared" si="14"/>
        <v>4.5233752170810027</v>
      </c>
      <c r="J90" s="1">
        <f t="shared" si="15"/>
        <v>3606.6621054823122</v>
      </c>
      <c r="K90" s="1">
        <f>SUM(J90:$J$102)</f>
        <v>15753.970361858886</v>
      </c>
      <c r="L90" s="1">
        <f>SUM(K90:$K$102)</f>
        <v>58244.110211798754</v>
      </c>
      <c r="M90" s="1">
        <f t="shared" si="16"/>
        <v>484.31976210561959</v>
      </c>
      <c r="N90" s="1">
        <f>SUM(M90:$M$102)</f>
        <v>2856.4730406318881</v>
      </c>
      <c r="O90" s="1">
        <f>SUM(N90:$N$102)</f>
        <v>12980.441304154183</v>
      </c>
    </row>
    <row r="91" spans="1:15" x14ac:dyDescent="0.25">
      <c r="A91">
        <v>89</v>
      </c>
      <c r="B91" s="1">
        <f t="shared" si="17"/>
        <v>226859.74750964314</v>
      </c>
      <c r="C91" s="1">
        <f t="shared" si="10"/>
        <v>35288.714304367546</v>
      </c>
      <c r="D91" s="4" t="s">
        <v>106</v>
      </c>
      <c r="E91">
        <f t="shared" si="11"/>
        <v>0.84444699999999995</v>
      </c>
      <c r="F91" s="1">
        <f t="shared" si="12"/>
        <v>209215.39035745937</v>
      </c>
      <c r="G91" s="1">
        <f>SUM(F91:$F$102)</f>
        <v>949132.20228880597</v>
      </c>
      <c r="H91">
        <f t="shared" si="13"/>
        <v>0.16867169400909879</v>
      </c>
      <c r="I91" s="1">
        <f t="shared" si="14"/>
        <v>4.1837840899847656</v>
      </c>
      <c r="J91" s="1">
        <f t="shared" si="15"/>
        <v>2950.5965288299158</v>
      </c>
      <c r="K91" s="1">
        <f>SUM(J91:$J$102)</f>
        <v>12147.308256376575</v>
      </c>
      <c r="L91" s="1">
        <f>SUM(K91:$K$102)</f>
        <v>42490.139849939864</v>
      </c>
      <c r="M91" s="1">
        <f t="shared" si="16"/>
        <v>437.1182303324573</v>
      </c>
      <c r="N91" s="1">
        <f>SUM(M91:$M$102)</f>
        <v>2372.1532785262693</v>
      </c>
      <c r="O91" s="1">
        <f>SUM(N91:$N$102)</f>
        <v>10123.968263522294</v>
      </c>
    </row>
    <row r="92" spans="1:15" x14ac:dyDescent="0.25">
      <c r="A92">
        <v>90</v>
      </c>
      <c r="B92" s="1">
        <f t="shared" si="17"/>
        <v>191571.0332052756</v>
      </c>
      <c r="C92" s="1">
        <f t="shared" si="10"/>
        <v>32535.083282351581</v>
      </c>
      <c r="D92" s="4" t="s">
        <v>107</v>
      </c>
      <c r="E92">
        <f t="shared" si="11"/>
        <v>0.83016699999999999</v>
      </c>
      <c r="F92" s="1">
        <f t="shared" si="12"/>
        <v>175303.49156409979</v>
      </c>
      <c r="G92" s="1">
        <f>SUM(F92:$F$102)</f>
        <v>739916.81193134654</v>
      </c>
      <c r="H92">
        <f t="shared" si="13"/>
        <v>0.18559289944578836</v>
      </c>
      <c r="I92" s="1">
        <f t="shared" si="14"/>
        <v>3.8623626941474902</v>
      </c>
      <c r="J92" s="1">
        <f t="shared" si="15"/>
        <v>2372.9737018865098</v>
      </c>
      <c r="K92" s="1">
        <f>SUM(J92:$J$102)</f>
        <v>9196.7117275466589</v>
      </c>
      <c r="L92" s="1">
        <f>SUM(K92:$K$102)</f>
        <v>30342.831593563285</v>
      </c>
      <c r="M92" s="1">
        <f t="shared" si="16"/>
        <v>383.81832639284926</v>
      </c>
      <c r="N92" s="1">
        <f>SUM(M92:$M$102)</f>
        <v>1935.0350481938115</v>
      </c>
      <c r="O92" s="1">
        <f>SUM(N92:$N$102)</f>
        <v>7751.8149849960228</v>
      </c>
    </row>
    <row r="93" spans="1:15" x14ac:dyDescent="0.25">
      <c r="A93">
        <v>91</v>
      </c>
      <c r="B93" s="1">
        <f t="shared" si="17"/>
        <v>159035.94992292402</v>
      </c>
      <c r="C93" s="1">
        <f t="shared" si="10"/>
        <v>29420.21941219164</v>
      </c>
      <c r="D93" s="4" t="s">
        <v>108</v>
      </c>
      <c r="E93">
        <f t="shared" si="11"/>
        <v>0.81500899999999998</v>
      </c>
      <c r="F93" s="1">
        <f t="shared" si="12"/>
        <v>144325.84021682819</v>
      </c>
      <c r="G93" s="1">
        <f>SUM(F93:$F$102)</f>
        <v>564613.32036724687</v>
      </c>
      <c r="H93">
        <f t="shared" si="13"/>
        <v>0.2038458211501982</v>
      </c>
      <c r="I93" s="1">
        <f t="shared" si="14"/>
        <v>3.5502244658574611</v>
      </c>
      <c r="J93" s="1">
        <f t="shared" si="15"/>
        <v>1876.1566277847789</v>
      </c>
      <c r="K93" s="1">
        <f>SUM(J93:$J$102)</f>
        <v>6823.7380256601473</v>
      </c>
      <c r="L93" s="1">
        <f>SUM(K93:$K$102)</f>
        <v>21146.119866016626</v>
      </c>
      <c r="M93" s="1">
        <f t="shared" si="16"/>
        <v>330.54484831479436</v>
      </c>
      <c r="N93" s="1">
        <f>SUM(M93:$M$102)</f>
        <v>1551.2167218009622</v>
      </c>
      <c r="O93" s="1">
        <f>SUM(N93:$N$102)</f>
        <v>5816.7799368022115</v>
      </c>
    </row>
    <row r="94" spans="1:15" x14ac:dyDescent="0.25">
      <c r="A94">
        <v>92</v>
      </c>
      <c r="B94" s="1">
        <f t="shared" si="17"/>
        <v>129615.73051073238</v>
      </c>
      <c r="C94" s="1">
        <f t="shared" si="10"/>
        <v>26111.607374309082</v>
      </c>
      <c r="D94" s="4" t="s">
        <v>109</v>
      </c>
      <c r="E94">
        <f t="shared" si="11"/>
        <v>0.79854599999999998</v>
      </c>
      <c r="F94" s="1">
        <f t="shared" si="12"/>
        <v>116559.92682357784</v>
      </c>
      <c r="G94" s="1">
        <f>SUM(F94:$F$102)</f>
        <v>420287.48015041865</v>
      </c>
      <c r="H94">
        <f t="shared" si="13"/>
        <v>0.22401873513382478</v>
      </c>
      <c r="I94" s="1">
        <f t="shared" si="14"/>
        <v>3.2425653776307515</v>
      </c>
      <c r="J94" s="1">
        <f t="shared" si="15"/>
        <v>1456.2709876707095</v>
      </c>
      <c r="K94" s="1">
        <f>SUM(J94:$J$102)</f>
        <v>4947.5813978753686</v>
      </c>
      <c r="L94" s="1">
        <f>SUM(K94:$K$102)</f>
        <v>14322.381840356482</v>
      </c>
      <c r="M94" s="1">
        <f t="shared" si="16"/>
        <v>279.40153861925251</v>
      </c>
      <c r="N94" s="1">
        <f>SUM(M94:$M$102)</f>
        <v>1220.6718734861679</v>
      </c>
      <c r="O94" s="1">
        <f>SUM(N94:$N$102)</f>
        <v>4265.5632150012498</v>
      </c>
    </row>
    <row r="95" spans="1:15" x14ac:dyDescent="0.25">
      <c r="A95">
        <v>93</v>
      </c>
      <c r="B95" s="1">
        <f t="shared" si="17"/>
        <v>103504.1231364233</v>
      </c>
      <c r="C95" s="1">
        <f t="shared" si="10"/>
        <v>22781.568014696168</v>
      </c>
      <c r="D95" s="4" t="s">
        <v>110</v>
      </c>
      <c r="E95">
        <f t="shared" si="11"/>
        <v>0.77989700000000006</v>
      </c>
      <c r="F95" s="1">
        <f t="shared" si="12"/>
        <v>92113.339129075204</v>
      </c>
      <c r="G95" s="1">
        <f>SUM(F95:$F$102)</f>
        <v>303727.5533268408</v>
      </c>
      <c r="H95">
        <f t="shared" si="13"/>
        <v>0.24732105284743996</v>
      </c>
      <c r="I95" s="1">
        <f t="shared" si="14"/>
        <v>2.9344488327920391</v>
      </c>
      <c r="J95" s="1">
        <f t="shared" si="15"/>
        <v>1107.523211543328</v>
      </c>
      <c r="K95" s="1">
        <f>SUM(J95:$J$102)</f>
        <v>3491.3104102046595</v>
      </c>
      <c r="L95" s="1">
        <f>SUM(K95:$K$102)</f>
        <v>9374.8004424811115</v>
      </c>
      <c r="M95" s="1">
        <f t="shared" si="16"/>
        <v>232.16112517173428</v>
      </c>
      <c r="N95" s="1">
        <f>SUM(M95:$M$102)</f>
        <v>941.27033486691528</v>
      </c>
      <c r="O95" s="1">
        <f>SUM(N95:$N$102)</f>
        <v>3044.8913415150828</v>
      </c>
    </row>
    <row r="96" spans="1:15" x14ac:dyDescent="0.25">
      <c r="A96">
        <v>94</v>
      </c>
      <c r="B96" s="1">
        <f t="shared" si="17"/>
        <v>80722.555121727128</v>
      </c>
      <c r="C96" s="1">
        <f t="shared" si="10"/>
        <v>19471.248966022045</v>
      </c>
      <c r="D96" s="4" t="s">
        <v>111</v>
      </c>
      <c r="E96">
        <f t="shared" si="11"/>
        <v>0.75878800000000002</v>
      </c>
      <c r="F96" s="1">
        <f t="shared" si="12"/>
        <v>70986.930638716105</v>
      </c>
      <c r="G96" s="1">
        <f>SUM(F96:$F$102)</f>
        <v>211614.21419776563</v>
      </c>
      <c r="H96">
        <f t="shared" si="13"/>
        <v>0.27429343388742705</v>
      </c>
      <c r="I96" s="1">
        <f t="shared" si="14"/>
        <v>2.6215004453050068</v>
      </c>
      <c r="J96" s="1">
        <f t="shared" si="15"/>
        <v>822.62288582191127</v>
      </c>
      <c r="K96" s="1">
        <f>SUM(J96:$J$102)</f>
        <v>2383.7871986613313</v>
      </c>
      <c r="L96" s="1">
        <f>SUM(K96:$K$102)</f>
        <v>5883.4900322764506</v>
      </c>
      <c r="M96" s="1">
        <f t="shared" si="16"/>
        <v>188.97763003321415</v>
      </c>
      <c r="N96" s="1">
        <f>SUM(M96:$M$102)</f>
        <v>709.10920969518099</v>
      </c>
      <c r="O96" s="1">
        <f>SUM(N96:$N$102)</f>
        <v>2103.6210066481676</v>
      </c>
    </row>
    <row r="97" spans="1:15" x14ac:dyDescent="0.25">
      <c r="A97">
        <v>95</v>
      </c>
      <c r="B97" s="1">
        <f t="shared" si="17"/>
        <v>61251.306155705082</v>
      </c>
      <c r="C97" s="1">
        <f t="shared" si="10"/>
        <v>16450.140791625396</v>
      </c>
      <c r="D97" s="4" t="s">
        <v>112</v>
      </c>
      <c r="E97">
        <f t="shared" si="11"/>
        <v>0.73143200000000008</v>
      </c>
      <c r="F97" s="1">
        <f t="shared" si="12"/>
        <v>53026.235759892385</v>
      </c>
      <c r="G97" s="1">
        <f>SUM(F97:$F$102)</f>
        <v>140627.28355904951</v>
      </c>
      <c r="H97">
        <f t="shared" si="13"/>
        <v>0.31022644839647168</v>
      </c>
      <c r="I97" s="1">
        <f t="shared" si="14"/>
        <v>2.2959066897539322</v>
      </c>
      <c r="J97" s="1">
        <f t="shared" si="15"/>
        <v>594.47273741622507</v>
      </c>
      <c r="K97" s="1">
        <f>SUM(J97:$J$102)</f>
        <v>1561.1643128394205</v>
      </c>
      <c r="L97" s="1">
        <f>SUM(K97:$K$102)</f>
        <v>3499.7028336151202</v>
      </c>
      <c r="M97" s="1">
        <f t="shared" si="16"/>
        <v>152.05367061181019</v>
      </c>
      <c r="N97" s="1">
        <f>SUM(M97:$M$102)</f>
        <v>520.13157966196695</v>
      </c>
      <c r="O97" s="1">
        <f>SUM(N97:$N$102)</f>
        <v>1394.5117969529861</v>
      </c>
    </row>
    <row r="98" spans="1:15" x14ac:dyDescent="0.25">
      <c r="A98">
        <v>96</v>
      </c>
      <c r="B98" s="1">
        <f t="shared" si="17"/>
        <v>44801.165364079687</v>
      </c>
      <c r="C98" s="1">
        <f t="shared" si="10"/>
        <v>13683.35113015867</v>
      </c>
      <c r="D98" s="4" t="s">
        <v>113</v>
      </c>
      <c r="E98">
        <f t="shared" si="11"/>
        <v>0.69457600000000008</v>
      </c>
      <c r="F98" s="1">
        <f t="shared" si="12"/>
        <v>37959.489799000352</v>
      </c>
      <c r="G98" s="1">
        <f>SUM(F98:$F$102)</f>
        <v>87601.047799157124</v>
      </c>
      <c r="H98">
        <f t="shared" si="13"/>
        <v>0.36047247217002942</v>
      </c>
      <c r="I98" s="1">
        <f t="shared" si="14"/>
        <v>1.9553296680401349</v>
      </c>
      <c r="J98" s="1">
        <f t="shared" si="15"/>
        <v>414.11084121316617</v>
      </c>
      <c r="K98" s="1">
        <f>SUM(J98:$J$102)</f>
        <v>966.69157542319545</v>
      </c>
      <c r="L98" s="1">
        <f>SUM(K98:$K$102)</f>
        <v>1938.5385207756995</v>
      </c>
      <c r="M98" s="1">
        <f t="shared" si="16"/>
        <v>120.45656149208573</v>
      </c>
      <c r="N98" s="1">
        <f>SUM(M98:$M$102)</f>
        <v>368.07790905015685</v>
      </c>
      <c r="O98" s="1">
        <f>SUM(N98:$N$102)</f>
        <v>874.38021729101899</v>
      </c>
    </row>
    <row r="99" spans="1:15" x14ac:dyDescent="0.25">
      <c r="A99">
        <v>97</v>
      </c>
      <c r="B99" s="1">
        <f t="shared" si="17"/>
        <v>31117.814233921017</v>
      </c>
      <c r="C99" s="1">
        <f t="shared" si="10"/>
        <v>11304.47955489883</v>
      </c>
      <c r="D99" s="4" t="s">
        <v>114</v>
      </c>
      <c r="E99">
        <f t="shared" si="11"/>
        <v>0.63671999999999995</v>
      </c>
      <c r="F99" s="1">
        <f t="shared" si="12"/>
        <v>25465.574456471601</v>
      </c>
      <c r="G99" s="1">
        <f>SUM(F99:$F$102)</f>
        <v>49641.558000156765</v>
      </c>
      <c r="H99">
        <f t="shared" si="13"/>
        <v>0.44391221467324909</v>
      </c>
      <c r="I99" s="1">
        <f t="shared" si="14"/>
        <v>1.5952777925527726</v>
      </c>
      <c r="J99" s="1">
        <f t="shared" si="15"/>
        <v>273.93471585378677</v>
      </c>
      <c r="K99" s="1">
        <f>SUM(J99:$J$102)</f>
        <v>552.58073421002928</v>
      </c>
      <c r="L99" s="1">
        <f>SUM(K99:$K$102)</f>
        <v>971.84694535250424</v>
      </c>
      <c r="M99" s="1">
        <f t="shared" si="16"/>
        <v>94.776193881298738</v>
      </c>
      <c r="N99" s="1">
        <f>SUM(M99:$M$102)</f>
        <v>247.62134755807108</v>
      </c>
      <c r="O99" s="1">
        <f>SUM(N99:$N$102)</f>
        <v>506.30230824086226</v>
      </c>
    </row>
    <row r="100" spans="1:15" x14ac:dyDescent="0.25">
      <c r="A100">
        <v>98</v>
      </c>
      <c r="B100" s="1">
        <f t="shared" si="17"/>
        <v>19813.334679022188</v>
      </c>
      <c r="C100" s="1">
        <f t="shared" si="10"/>
        <v>9237.6502807392317</v>
      </c>
      <c r="D100" s="4" t="s">
        <v>115</v>
      </c>
      <c r="E100">
        <f t="shared" si="11"/>
        <v>0.53376599999999996</v>
      </c>
      <c r="F100" s="1">
        <f t="shared" si="12"/>
        <v>15194.509538652572</v>
      </c>
      <c r="G100" s="1">
        <f>SUM(F100:$F$102)</f>
        <v>24175.983543685161</v>
      </c>
      <c r="H100">
        <f t="shared" si="13"/>
        <v>0.60795975396507695</v>
      </c>
      <c r="I100" s="1">
        <f t="shared" si="14"/>
        <v>1.220187511862</v>
      </c>
      <c r="J100" s="1">
        <f t="shared" si="15"/>
        <v>166.11401169373627</v>
      </c>
      <c r="K100" s="1">
        <f>SUM(J100:$J$102)</f>
        <v>278.64601835624245</v>
      </c>
      <c r="L100" s="1">
        <f>SUM(K100:$K$102)</f>
        <v>419.2662111424749</v>
      </c>
      <c r="M100" s="1">
        <f t="shared" si="16"/>
        <v>73.760000121921379</v>
      </c>
      <c r="N100" s="1">
        <f>SUM(M100:$M$102)</f>
        <v>152.84515367677233</v>
      </c>
      <c r="O100" s="1">
        <f>SUM(N100:$N$102)</f>
        <v>258.68096068279118</v>
      </c>
    </row>
    <row r="101" spans="1:15" x14ac:dyDescent="0.25">
      <c r="A101">
        <v>99</v>
      </c>
      <c r="B101" s="1">
        <f t="shared" si="17"/>
        <v>10575.684398282956</v>
      </c>
      <c r="C101" s="1">
        <f t="shared" si="10"/>
        <v>6882.0525923918449</v>
      </c>
      <c r="D101" s="4" t="s">
        <v>116</v>
      </c>
      <c r="E101">
        <f t="shared" si="11"/>
        <v>0.34925700000000004</v>
      </c>
      <c r="F101" s="1">
        <f t="shared" si="12"/>
        <v>7134.6581020870335</v>
      </c>
      <c r="G101" s="1">
        <f>SUM(F101:$F$102)</f>
        <v>8981.474005032589</v>
      </c>
      <c r="H101">
        <f t="shared" si="13"/>
        <v>0.96459458798434972</v>
      </c>
      <c r="I101" s="1">
        <f t="shared" si="14"/>
        <v>0.84925700000000004</v>
      </c>
      <c r="J101" s="1">
        <f t="shared" si="15"/>
        <v>84.443820538779846</v>
      </c>
      <c r="K101" s="1">
        <f>SUM(J101:$J$102)</f>
        <v>112.53200666250616</v>
      </c>
      <c r="L101" s="1">
        <f>SUM(K101:$K$102)</f>
        <v>140.62019278623248</v>
      </c>
      <c r="M101" s="1">
        <f t="shared" si="16"/>
        <v>52.334500103683041</v>
      </c>
      <c r="N101" s="1">
        <f>SUM(M101:$M$102)</f>
        <v>79.085153554850962</v>
      </c>
      <c r="O101" s="1">
        <f>SUM(N101:$N$102)</f>
        <v>105.83580700601888</v>
      </c>
    </row>
    <row r="102" spans="1:15" x14ac:dyDescent="0.25">
      <c r="A102">
        <v>100</v>
      </c>
      <c r="B102" s="1">
        <f t="shared" si="17"/>
        <v>3693.6318058911106</v>
      </c>
      <c r="C102" s="1">
        <f t="shared" si="10"/>
        <v>3693.6318058911106</v>
      </c>
      <c r="D102" s="4" t="s">
        <v>117</v>
      </c>
      <c r="E102">
        <f t="shared" si="11"/>
        <v>0</v>
      </c>
      <c r="F102" s="1">
        <f t="shared" si="12"/>
        <v>1846.8159029455553</v>
      </c>
      <c r="G102" s="1">
        <f>SUM(F102:$F$102)</f>
        <v>1846.8159029455553</v>
      </c>
      <c r="H102">
        <f t="shared" si="13"/>
        <v>2</v>
      </c>
      <c r="I102" s="1">
        <f t="shared" si="14"/>
        <v>0.5</v>
      </c>
      <c r="J102" s="1">
        <f t="shared" si="15"/>
        <v>28.088186123726313</v>
      </c>
      <c r="K102" s="1">
        <f>SUM(J102:$J$102)</f>
        <v>28.088186123726313</v>
      </c>
      <c r="L102" s="1">
        <f>SUM(K102:$K$102)</f>
        <v>28.088186123726313</v>
      </c>
      <c r="M102" s="1">
        <f t="shared" si="16"/>
        <v>26.750653451167913</v>
      </c>
      <c r="N102" s="1">
        <f>SUM(M102:$M$102)</f>
        <v>26.750653451167913</v>
      </c>
      <c r="O102" s="1">
        <f>SUM(N102:$N$102)</f>
        <v>26.750653451167913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0C20-E797-4877-AC2E-F25377271F73}">
  <sheetPr codeName="Hoja1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Hombres</vt:lpstr>
      <vt:lpstr>Mujeres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Fatima</dc:creator>
  <cp:lastModifiedBy>Fatima</cp:lastModifiedBy>
  <dcterms:created xsi:type="dcterms:W3CDTF">2021-05-09T19:59:38Z</dcterms:created>
  <dcterms:modified xsi:type="dcterms:W3CDTF">2021-05-09T21:40:59Z</dcterms:modified>
</cp:coreProperties>
</file>